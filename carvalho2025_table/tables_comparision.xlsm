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filterPrivacy="1" codeName="ThisWorkbook"/>
  <xr:revisionPtr revIDLastSave="0" documentId="13_ncr:1_{1B58E09B-EB8D-4A9C-9F1F-C936BB9BEBF8}" xr6:coauthVersionLast="47" xr6:coauthVersionMax="47" xr10:uidLastSave="{00000000-0000-0000-0000-000000000000}"/>
  <bookViews>
    <workbookView xWindow="-108" yWindow="-108" windowWidth="23256" windowHeight="12576" tabRatio="821" xr2:uid="{00000000-000D-0000-FFFF-FFFF00000000}"/>
  </bookViews>
  <sheets>
    <sheet name="carvalho2025_table" sheetId="1" r:id="rId1"/>
    <sheet name="groenendijk1998_table" sheetId="2" r:id="rId2"/>
  </sheets>
  <functionGroups builtInGroupCount="19"/>
  <definedNames>
    <definedName name="_xlnm.Print_Area" localSheetId="0">carvalho2025_table!$A$1:$I$351</definedName>
  </definedNames>
  <calcPr calcId="181029"/>
</workbook>
</file>

<file path=xl/calcChain.xml><?xml version="1.0" encoding="utf-8"?>
<calcChain xmlns="http://schemas.openxmlformats.org/spreadsheetml/2006/main">
  <c r="K71" i="2" l="1"/>
  <c r="K70" i="2"/>
  <c r="K69" i="2"/>
  <c r="K68" i="2"/>
  <c r="K67" i="2"/>
  <c r="K66" i="2"/>
  <c r="K65" i="2"/>
  <c r="K64" i="2"/>
  <c r="K63" i="2"/>
  <c r="K62" i="2"/>
  <c r="K61" i="2"/>
  <c r="K60" i="2"/>
  <c r="K59" i="2"/>
  <c r="K58" i="2"/>
  <c r="K57" i="2"/>
  <c r="K56" i="2"/>
  <c r="K55" i="2"/>
  <c r="K54" i="2"/>
  <c r="K53" i="2"/>
  <c r="K52" i="2"/>
  <c r="K51" i="2"/>
  <c r="K50" i="2"/>
  <c r="K49" i="2"/>
  <c r="K48" i="2"/>
  <c r="K47" i="2"/>
  <c r="K46" i="2"/>
  <c r="K45" i="2"/>
  <c r="K44" i="2"/>
  <c r="K43" i="2"/>
  <c r="K42" i="2"/>
  <c r="K41" i="2"/>
  <c r="K40" i="2"/>
  <c r="K39" i="2"/>
  <c r="K38" i="2"/>
  <c r="K37" i="2"/>
  <c r="K36" i="2"/>
  <c r="K35" i="2"/>
  <c r="K34" i="2"/>
  <c r="K33" i="2"/>
  <c r="K32" i="2"/>
  <c r="K31" i="2"/>
  <c r="K30" i="2"/>
  <c r="K29" i="2"/>
  <c r="K28" i="2"/>
  <c r="K27" i="2"/>
  <c r="K26" i="2"/>
  <c r="K25" i="2"/>
  <c r="K24" i="2"/>
  <c r="K23" i="2"/>
  <c r="K22" i="2"/>
  <c r="K21" i="2"/>
  <c r="K20" i="2"/>
  <c r="K19" i="2"/>
  <c r="K18" i="2"/>
  <c r="K17" i="2"/>
  <c r="K16" i="2"/>
  <c r="K15" i="2"/>
  <c r="K14" i="2"/>
  <c r="K13" i="2"/>
  <c r="K12" i="2"/>
  <c r="K11" i="2"/>
  <c r="K10" i="2"/>
  <c r="K9" i="2"/>
  <c r="K8" i="2"/>
  <c r="K7" i="2"/>
  <c r="K6" i="2"/>
  <c r="K5" i="2"/>
  <c r="K4" i="2"/>
  <c r="K3" i="2"/>
  <c r="K2" i="2"/>
  <c r="L11" i="1"/>
  <c r="L3" i="1"/>
  <c r="L337" i="1"/>
  <c r="L321" i="1"/>
  <c r="L305" i="1"/>
  <c r="L289" i="1"/>
  <c r="L273" i="1"/>
  <c r="L257" i="1"/>
  <c r="L241" i="1"/>
  <c r="L225" i="1"/>
  <c r="L209" i="1"/>
  <c r="L193" i="1"/>
  <c r="L177" i="1"/>
  <c r="L161" i="1"/>
  <c r="L145" i="1"/>
  <c r="L129" i="1"/>
  <c r="K351" i="1"/>
  <c r="L346" i="1"/>
  <c r="L330" i="1"/>
  <c r="L314" i="1"/>
  <c r="L298" i="1"/>
  <c r="L282" i="1"/>
  <c r="L266" i="1"/>
  <c r="L250" i="1"/>
  <c r="L234" i="1"/>
  <c r="L218" i="1"/>
  <c r="L202" i="1"/>
  <c r="L186" i="1"/>
  <c r="L170" i="1"/>
  <c r="L154" i="1"/>
  <c r="L138" i="1"/>
  <c r="L122" i="1"/>
  <c r="L106" i="1"/>
  <c r="K333" i="1"/>
  <c r="K301" i="1"/>
  <c r="K269" i="1"/>
  <c r="K237" i="1"/>
  <c r="K205" i="1"/>
  <c r="K173" i="1"/>
  <c r="K141" i="1"/>
  <c r="K111" i="1"/>
  <c r="L91" i="1"/>
  <c r="L75" i="1"/>
  <c r="L59" i="1"/>
  <c r="L43" i="1"/>
  <c r="L27" i="1"/>
  <c r="L46" i="1"/>
  <c r="K344" i="1"/>
  <c r="K324" i="1"/>
  <c r="K292" i="1"/>
  <c r="K260" i="1"/>
  <c r="K228" i="1"/>
  <c r="K196" i="1"/>
  <c r="K164" i="1"/>
  <c r="K132" i="1"/>
  <c r="K105" i="1"/>
  <c r="K87" i="1"/>
  <c r="K71" i="1"/>
  <c r="K55" i="1"/>
  <c r="K39" i="1"/>
  <c r="K23" i="1"/>
  <c r="K7" i="1"/>
  <c r="L38" i="1"/>
  <c r="K310" i="1"/>
  <c r="K315" i="1"/>
  <c r="K283" i="1"/>
  <c r="K251" i="1"/>
  <c r="K219" i="1"/>
  <c r="K187" i="1"/>
  <c r="K155" i="1"/>
  <c r="K123" i="1"/>
  <c r="K99" i="1"/>
  <c r="L82" i="1"/>
  <c r="L54" i="1"/>
  <c r="K326" i="1"/>
  <c r="K246" i="1"/>
  <c r="K118" i="1"/>
  <c r="K48" i="1"/>
  <c r="K258" i="1"/>
  <c r="K130" i="1"/>
  <c r="K54" i="1"/>
  <c r="K18" i="1"/>
  <c r="K174" i="1"/>
  <c r="K76" i="1"/>
  <c r="K12" i="1"/>
  <c r="K186" i="1"/>
  <c r="K82" i="1"/>
  <c r="L2" i="1"/>
  <c r="K320" i="1"/>
  <c r="K128" i="1"/>
  <c r="K85" i="1"/>
  <c r="K53" i="1"/>
  <c r="K21" i="1"/>
  <c r="K3" i="1"/>
  <c r="K346" i="1"/>
  <c r="K279" i="1"/>
  <c r="K215" i="1"/>
  <c r="K151" i="1"/>
  <c r="L96" i="1"/>
  <c r="L44" i="1"/>
  <c r="K322" i="1"/>
  <c r="K106" i="1"/>
  <c r="K242" i="1"/>
  <c r="K46" i="1"/>
  <c r="K158" i="1"/>
  <c r="K4" i="1"/>
  <c r="K74" i="1"/>
  <c r="K221" i="1"/>
  <c r="K180" i="1"/>
  <c r="K47" i="1"/>
  <c r="K331" i="1"/>
  <c r="L351" i="1"/>
  <c r="L335" i="1"/>
  <c r="L319" i="1"/>
  <c r="L303" i="1"/>
  <c r="L287" i="1"/>
  <c r="L271" i="1"/>
  <c r="L255" i="1"/>
  <c r="L239" i="1"/>
  <c r="L223" i="1"/>
  <c r="L207" i="1"/>
  <c r="L191" i="1"/>
  <c r="L175" i="1"/>
  <c r="L159" i="1"/>
  <c r="L143" i="1"/>
  <c r="L127" i="1"/>
  <c r="K349" i="1"/>
  <c r="L344" i="1"/>
  <c r="L328" i="1"/>
  <c r="L312" i="1"/>
  <c r="L296" i="1"/>
  <c r="L280" i="1"/>
  <c r="L264" i="1"/>
  <c r="L248" i="1"/>
  <c r="L232" i="1"/>
  <c r="L216" i="1"/>
  <c r="L200" i="1"/>
  <c r="L184" i="1"/>
  <c r="L168" i="1"/>
  <c r="L152" i="1"/>
  <c r="L136" i="1"/>
  <c r="L120" i="1"/>
  <c r="L104" i="1"/>
  <c r="K329" i="1"/>
  <c r="K297" i="1"/>
  <c r="K265" i="1"/>
  <c r="K233" i="1"/>
  <c r="K201" i="1"/>
  <c r="K169" i="1"/>
  <c r="K137" i="1"/>
  <c r="K108" i="1"/>
  <c r="L89" i="1"/>
  <c r="L73" i="1"/>
  <c r="L57" i="1"/>
  <c r="L41" i="1"/>
  <c r="L25" i="1"/>
  <c r="L9" i="1"/>
  <c r="L40" i="1"/>
  <c r="K306" i="1"/>
  <c r="K288" i="1"/>
  <c r="K256" i="1"/>
  <c r="K224" i="1"/>
  <c r="K192" i="1"/>
  <c r="K160" i="1"/>
  <c r="K102" i="1"/>
  <c r="K69" i="1"/>
  <c r="K37" i="1"/>
  <c r="L32" i="1"/>
  <c r="K311" i="1"/>
  <c r="K247" i="1"/>
  <c r="K183" i="1"/>
  <c r="K119" i="1"/>
  <c r="L80" i="1"/>
  <c r="K230" i="1"/>
  <c r="K40" i="1"/>
  <c r="K114" i="1"/>
  <c r="K286" i="1"/>
  <c r="K68" i="1"/>
  <c r="K170" i="1"/>
  <c r="K2" i="1"/>
  <c r="K125" i="1"/>
  <c r="K276" i="1"/>
  <c r="K95" i="1"/>
  <c r="L58" i="1"/>
  <c r="K267" i="1"/>
  <c r="L349" i="1"/>
  <c r="L333" i="1"/>
  <c r="L317" i="1"/>
  <c r="L301" i="1"/>
  <c r="L285" i="1"/>
  <c r="L269" i="1"/>
  <c r="L253" i="1"/>
  <c r="L237" i="1"/>
  <c r="L221" i="1"/>
  <c r="L205" i="1"/>
  <c r="L189" i="1"/>
  <c r="L173" i="1"/>
  <c r="L157" i="1"/>
  <c r="L141" i="1"/>
  <c r="L125" i="1"/>
  <c r="K347" i="1"/>
  <c r="L342" i="1"/>
  <c r="L326" i="1"/>
  <c r="L310" i="1"/>
  <c r="L294" i="1"/>
  <c r="L278" i="1"/>
  <c r="L262" i="1"/>
  <c r="L246" i="1"/>
  <c r="L230" i="1"/>
  <c r="L214" i="1"/>
  <c r="L198" i="1"/>
  <c r="L182" i="1"/>
  <c r="L166" i="1"/>
  <c r="L150" i="1"/>
  <c r="L134" i="1"/>
  <c r="L118" i="1"/>
  <c r="L102" i="1"/>
  <c r="K325" i="1"/>
  <c r="K293" i="1"/>
  <c r="K261" i="1"/>
  <c r="K229" i="1"/>
  <c r="K197" i="1"/>
  <c r="K165" i="1"/>
  <c r="K133" i="1"/>
  <c r="L105" i="1"/>
  <c r="L87" i="1"/>
  <c r="L71" i="1"/>
  <c r="L55" i="1"/>
  <c r="L39" i="1"/>
  <c r="L23" i="1"/>
  <c r="L7" i="1"/>
  <c r="L34" i="1"/>
  <c r="K294" i="1"/>
  <c r="K316" i="1"/>
  <c r="K284" i="1"/>
  <c r="K252" i="1"/>
  <c r="K220" i="1"/>
  <c r="K188" i="1"/>
  <c r="K156" i="1"/>
  <c r="K124" i="1"/>
  <c r="L99" i="1"/>
  <c r="K83" i="1"/>
  <c r="K67" i="1"/>
  <c r="K51" i="1"/>
  <c r="K35" i="1"/>
  <c r="K19" i="1"/>
  <c r="L68" i="1"/>
  <c r="L24" i="1"/>
  <c r="K339" i="1"/>
  <c r="K307" i="1"/>
  <c r="K275" i="1"/>
  <c r="K243" i="1"/>
  <c r="K211" i="1"/>
  <c r="K179" i="1"/>
  <c r="K147" i="1"/>
  <c r="K115" i="1"/>
  <c r="L94" i="1"/>
  <c r="L78" i="1"/>
  <c r="L36" i="1"/>
  <c r="K318" i="1"/>
  <c r="K214" i="1"/>
  <c r="K96" i="1"/>
  <c r="K32" i="1"/>
  <c r="K226" i="1"/>
  <c r="L103" i="1"/>
  <c r="K38" i="1"/>
  <c r="K270" i="1"/>
  <c r="K142" i="1"/>
  <c r="K60" i="1"/>
  <c r="K282" i="1"/>
  <c r="K154" i="1"/>
  <c r="K66" i="1"/>
  <c r="K266" i="1"/>
  <c r="K138" i="1"/>
  <c r="L345" i="1"/>
  <c r="L329" i="1"/>
  <c r="L313" i="1"/>
  <c r="L297" i="1"/>
  <c r="L281" i="1"/>
  <c r="L265" i="1"/>
  <c r="L233" i="1"/>
  <c r="L217" i="1"/>
  <c r="L201" i="1"/>
  <c r="L169" i="1"/>
  <c r="L137" i="1"/>
  <c r="L121" i="1"/>
  <c r="L338" i="1"/>
  <c r="L306" i="1"/>
  <c r="L274" i="1"/>
  <c r="L258" i="1"/>
  <c r="L226" i="1"/>
  <c r="L194" i="1"/>
  <c r="L178" i="1"/>
  <c r="L146" i="1"/>
  <c r="L114" i="1"/>
  <c r="K317" i="1"/>
  <c r="K285" i="1"/>
  <c r="K189" i="1"/>
  <c r="K100" i="1"/>
  <c r="L67" i="1"/>
  <c r="L51" i="1"/>
  <c r="L19" i="1"/>
  <c r="L26" i="1"/>
  <c r="K308" i="1"/>
  <c r="K212" i="1"/>
  <c r="K116" i="1"/>
  <c r="K63" i="1"/>
  <c r="K31" i="1"/>
  <c r="L14" i="1"/>
  <c r="K235" i="1"/>
  <c r="L347" i="1"/>
  <c r="L331" i="1"/>
  <c r="L315" i="1"/>
  <c r="L299" i="1"/>
  <c r="L283" i="1"/>
  <c r="L267" i="1"/>
  <c r="L251" i="1"/>
  <c r="L235" i="1"/>
  <c r="L219" i="1"/>
  <c r="L203" i="1"/>
  <c r="L187" i="1"/>
  <c r="L171" i="1"/>
  <c r="L155" i="1"/>
  <c r="L139" i="1"/>
  <c r="L123" i="1"/>
  <c r="K345" i="1"/>
  <c r="L340" i="1"/>
  <c r="L324" i="1"/>
  <c r="L308" i="1"/>
  <c r="L292" i="1"/>
  <c r="L276" i="1"/>
  <c r="L260" i="1"/>
  <c r="L244" i="1"/>
  <c r="L228" i="1"/>
  <c r="L212" i="1"/>
  <c r="L196" i="1"/>
  <c r="L180" i="1"/>
  <c r="L164" i="1"/>
  <c r="L148" i="1"/>
  <c r="L132" i="1"/>
  <c r="L116" i="1"/>
  <c r="L100" i="1"/>
  <c r="K321" i="1"/>
  <c r="K289" i="1"/>
  <c r="K257" i="1"/>
  <c r="K225" i="1"/>
  <c r="K193" i="1"/>
  <c r="K161" i="1"/>
  <c r="K129" i="1"/>
  <c r="K103" i="1"/>
  <c r="L85" i="1"/>
  <c r="L69" i="1"/>
  <c r="L53" i="1"/>
  <c r="L37" i="1"/>
  <c r="L21" i="1"/>
  <c r="L5" i="1"/>
  <c r="L30" i="1"/>
  <c r="K348" i="1"/>
  <c r="K312" i="1"/>
  <c r="K280" i="1"/>
  <c r="K248" i="1"/>
  <c r="K216" i="1"/>
  <c r="K184" i="1"/>
  <c r="K152" i="1"/>
  <c r="K120" i="1"/>
  <c r="K97" i="1"/>
  <c r="K81" i="1"/>
  <c r="K65" i="1"/>
  <c r="K49" i="1"/>
  <c r="K33" i="1"/>
  <c r="K17" i="1"/>
  <c r="L62" i="1"/>
  <c r="L18" i="1"/>
  <c r="K335" i="1"/>
  <c r="K303" i="1"/>
  <c r="K271" i="1"/>
  <c r="K239" i="1"/>
  <c r="K207" i="1"/>
  <c r="K175" i="1"/>
  <c r="K143" i="1"/>
  <c r="K112" i="1"/>
  <c r="L92" i="1"/>
  <c r="L76" i="1"/>
  <c r="L28" i="1"/>
  <c r="K314" i="1"/>
  <c r="K198" i="1"/>
  <c r="K88" i="1"/>
  <c r="K24" i="1"/>
  <c r="K210" i="1"/>
  <c r="K94" i="1"/>
  <c r="K30" i="1"/>
  <c r="K254" i="1"/>
  <c r="K126" i="1"/>
  <c r="K52" i="1"/>
  <c r="K58" i="1"/>
  <c r="L249" i="1"/>
  <c r="L185" i="1"/>
  <c r="L153" i="1"/>
  <c r="K343" i="1"/>
  <c r="L322" i="1"/>
  <c r="L290" i="1"/>
  <c r="L242" i="1"/>
  <c r="L210" i="1"/>
  <c r="L162" i="1"/>
  <c r="L130" i="1"/>
  <c r="L98" i="1"/>
  <c r="K253" i="1"/>
  <c r="K157" i="1"/>
  <c r="L83" i="1"/>
  <c r="L35" i="1"/>
  <c r="L70" i="1"/>
  <c r="K340" i="1"/>
  <c r="K244" i="1"/>
  <c r="K148" i="1"/>
  <c r="K79" i="1"/>
  <c r="K15" i="1"/>
  <c r="K299" i="1"/>
  <c r="L343" i="1"/>
  <c r="L327" i="1"/>
  <c r="L311" i="1"/>
  <c r="L295" i="1"/>
  <c r="L279" i="1"/>
  <c r="L263" i="1"/>
  <c r="L247" i="1"/>
  <c r="L231" i="1"/>
  <c r="L215" i="1"/>
  <c r="L199" i="1"/>
  <c r="L183" i="1"/>
  <c r="L167" i="1"/>
  <c r="L151" i="1"/>
  <c r="L135" i="1"/>
  <c r="L119" i="1"/>
  <c r="K341" i="1"/>
  <c r="L336" i="1"/>
  <c r="L320" i="1"/>
  <c r="L304" i="1"/>
  <c r="L288" i="1"/>
  <c r="L272" i="1"/>
  <c r="L256" i="1"/>
  <c r="L240" i="1"/>
  <c r="L224" i="1"/>
  <c r="L208" i="1"/>
  <c r="L192" i="1"/>
  <c r="L176" i="1"/>
  <c r="L160" i="1"/>
  <c r="L144" i="1"/>
  <c r="L128" i="1"/>
  <c r="L112" i="1"/>
  <c r="K350" i="1"/>
  <c r="K313" i="1"/>
  <c r="K281" i="1"/>
  <c r="K249" i="1"/>
  <c r="K217" i="1"/>
  <c r="K185" i="1"/>
  <c r="K153" i="1"/>
  <c r="K121" i="1"/>
  <c r="L97" i="1"/>
  <c r="L81" i="1"/>
  <c r="L65" i="1"/>
  <c r="L49" i="1"/>
  <c r="L33" i="1"/>
  <c r="L17" i="1"/>
  <c r="L64" i="1"/>
  <c r="L20" i="1"/>
  <c r="K336" i="1"/>
  <c r="K304" i="1"/>
  <c r="K272" i="1"/>
  <c r="K240" i="1"/>
  <c r="K208" i="1"/>
  <c r="K176" i="1"/>
  <c r="K144" i="1"/>
  <c r="K113" i="1"/>
  <c r="K93" i="1"/>
  <c r="K77" i="1"/>
  <c r="K61" i="1"/>
  <c r="K45" i="1"/>
  <c r="K29" i="1"/>
  <c r="K13" i="1"/>
  <c r="L52" i="1"/>
  <c r="L8" i="1"/>
  <c r="K327" i="1"/>
  <c r="K295" i="1"/>
  <c r="K263" i="1"/>
  <c r="K231" i="1"/>
  <c r="K199" i="1"/>
  <c r="K167" i="1"/>
  <c r="K135" i="1"/>
  <c r="K107" i="1"/>
  <c r="L88" i="1"/>
  <c r="L72" i="1"/>
  <c r="L12" i="1"/>
  <c r="K298" i="1"/>
  <c r="K166" i="1"/>
  <c r="K72" i="1"/>
  <c r="K8" i="1"/>
  <c r="K178" i="1"/>
  <c r="K78" i="1"/>
  <c r="K14" i="1"/>
  <c r="K222" i="1"/>
  <c r="K101" i="1"/>
  <c r="K36" i="1"/>
  <c r="K234" i="1"/>
  <c r="K109" i="1"/>
  <c r="K42" i="1"/>
  <c r="L6" i="1"/>
  <c r="L341" i="1"/>
  <c r="L325" i="1"/>
  <c r="L309" i="1"/>
  <c r="L293" i="1"/>
  <c r="L277" i="1"/>
  <c r="L261" i="1"/>
  <c r="L245" i="1"/>
  <c r="L229" i="1"/>
  <c r="L213" i="1"/>
  <c r="L197" i="1"/>
  <c r="L181" i="1"/>
  <c r="L165" i="1"/>
  <c r="L149" i="1"/>
  <c r="L133" i="1"/>
  <c r="L117" i="1"/>
  <c r="L350" i="1"/>
  <c r="L334" i="1"/>
  <c r="L318" i="1"/>
  <c r="L302" i="1"/>
  <c r="L286" i="1"/>
  <c r="L270" i="1"/>
  <c r="L254" i="1"/>
  <c r="L238" i="1"/>
  <c r="L222" i="1"/>
  <c r="L206" i="1"/>
  <c r="L190" i="1"/>
  <c r="L174" i="1"/>
  <c r="L158" i="1"/>
  <c r="L142" i="1"/>
  <c r="L126" i="1"/>
  <c r="L110" i="1"/>
  <c r="K342" i="1"/>
  <c r="K309" i="1"/>
  <c r="K277" i="1"/>
  <c r="K245" i="1"/>
  <c r="K213" i="1"/>
  <c r="K181" i="1"/>
  <c r="K149" i="1"/>
  <c r="K117" i="1"/>
  <c r="L339" i="1"/>
  <c r="L211" i="1"/>
  <c r="L332" i="1"/>
  <c r="L204" i="1"/>
  <c r="K305" i="1"/>
  <c r="L93" i="1"/>
  <c r="L29" i="1"/>
  <c r="K328" i="1"/>
  <c r="K200" i="1"/>
  <c r="K89" i="1"/>
  <c r="K25" i="1"/>
  <c r="K319" i="1"/>
  <c r="K195" i="1"/>
  <c r="L109" i="1"/>
  <c r="L60" i="1"/>
  <c r="K150" i="1"/>
  <c r="K194" i="1"/>
  <c r="K34" i="1"/>
  <c r="K28" i="1"/>
  <c r="K50" i="1"/>
  <c r="L316" i="1"/>
  <c r="L79" i="1"/>
  <c r="K300" i="1"/>
  <c r="K75" i="1"/>
  <c r="K291" i="1"/>
  <c r="K104" i="1"/>
  <c r="K134" i="1"/>
  <c r="K238" i="1"/>
  <c r="K26" i="1"/>
  <c r="L268" i="1"/>
  <c r="K264" i="1"/>
  <c r="K255" i="1"/>
  <c r="K56" i="1"/>
  <c r="K202" i="1"/>
  <c r="L74" i="1"/>
  <c r="K98" i="1"/>
  <c r="K337" i="1"/>
  <c r="K91" i="1"/>
  <c r="L66" i="1"/>
  <c r="K90" i="1"/>
  <c r="L323" i="1"/>
  <c r="L195" i="1"/>
  <c r="L188" i="1"/>
  <c r="K273" i="1"/>
  <c r="L15" i="1"/>
  <c r="K172" i="1"/>
  <c r="K11" i="1"/>
  <c r="K191" i="1"/>
  <c r="L22" i="1"/>
  <c r="K162" i="1"/>
  <c r="K20" i="1"/>
  <c r="L147" i="1"/>
  <c r="L50" i="1"/>
  <c r="L42" i="1"/>
  <c r="K302" i="1"/>
  <c r="K338" i="1"/>
  <c r="K290" i="1"/>
  <c r="K5" i="1"/>
  <c r="L31" i="1"/>
  <c r="K323" i="1"/>
  <c r="K274" i="1"/>
  <c r="L307" i="1"/>
  <c r="L179" i="1"/>
  <c r="L300" i="1"/>
  <c r="L172" i="1"/>
  <c r="K241" i="1"/>
  <c r="L77" i="1"/>
  <c r="L13" i="1"/>
  <c r="K296" i="1"/>
  <c r="K168" i="1"/>
  <c r="K73" i="1"/>
  <c r="K9" i="1"/>
  <c r="K287" i="1"/>
  <c r="K171" i="1"/>
  <c r="L101" i="1"/>
  <c r="K334" i="1"/>
  <c r="K80" i="1"/>
  <c r="K146" i="1"/>
  <c r="K206" i="1"/>
  <c r="K250" i="1"/>
  <c r="K10" i="1"/>
  <c r="K330" i="1"/>
  <c r="K190" i="1"/>
  <c r="L275" i="1"/>
  <c r="L140" i="1"/>
  <c r="L61" i="1"/>
  <c r="K136" i="1"/>
  <c r="K159" i="1"/>
  <c r="K70" i="1"/>
  <c r="K131" i="1"/>
  <c r="K22" i="1"/>
  <c r="L227" i="1"/>
  <c r="L95" i="1"/>
  <c r="K27" i="1"/>
  <c r="K182" i="1"/>
  <c r="L291" i="1"/>
  <c r="L163" i="1"/>
  <c r="L284" i="1"/>
  <c r="L156" i="1"/>
  <c r="K209" i="1"/>
  <c r="L63" i="1"/>
  <c r="L56" i="1"/>
  <c r="K268" i="1"/>
  <c r="K140" i="1"/>
  <c r="K59" i="1"/>
  <c r="L48" i="1"/>
  <c r="K259" i="1"/>
  <c r="K163" i="1"/>
  <c r="L90" i="1"/>
  <c r="K64" i="1"/>
  <c r="K86" i="1"/>
  <c r="K218" i="1"/>
  <c r="K177" i="1"/>
  <c r="K57" i="1"/>
  <c r="L86" i="1"/>
  <c r="L111" i="1"/>
  <c r="K223" i="1"/>
  <c r="K84" i="1"/>
  <c r="L220" i="1"/>
  <c r="K204" i="1"/>
  <c r="K127" i="1"/>
  <c r="K44" i="1"/>
  <c r="L259" i="1"/>
  <c r="L131" i="1"/>
  <c r="L252" i="1"/>
  <c r="L124" i="1"/>
  <c r="K145" i="1"/>
  <c r="L47" i="1"/>
  <c r="L16" i="1"/>
  <c r="K236" i="1"/>
  <c r="K110" i="1"/>
  <c r="K43" i="1"/>
  <c r="L4" i="1"/>
  <c r="K227" i="1"/>
  <c r="K139" i="1"/>
  <c r="L84" i="1"/>
  <c r="K278" i="1"/>
  <c r="K16" i="1"/>
  <c r="K62" i="1"/>
  <c r="K92" i="1"/>
  <c r="K122" i="1"/>
  <c r="L243" i="1"/>
  <c r="L115" i="1"/>
  <c r="L236" i="1"/>
  <c r="L108" i="1"/>
  <c r="L113" i="1"/>
  <c r="L45" i="1"/>
  <c r="L10" i="1"/>
  <c r="K232" i="1"/>
  <c r="L107" i="1"/>
  <c r="K41" i="1"/>
  <c r="K262" i="1"/>
  <c r="L348" i="1"/>
  <c r="K332" i="1"/>
  <c r="K203" i="1"/>
  <c r="K6" i="1"/>
  <c r="M351" i="1" l="1"/>
  <c r="M350" i="1"/>
  <c r="M349" i="1"/>
  <c r="M348" i="1"/>
  <c r="M347" i="1"/>
  <c r="M346" i="1"/>
  <c r="M345" i="1"/>
  <c r="M344" i="1"/>
  <c r="M343" i="1"/>
  <c r="M342" i="1"/>
  <c r="M341" i="1"/>
  <c r="M340" i="1"/>
  <c r="M339" i="1"/>
  <c r="M338" i="1"/>
  <c r="M337" i="1"/>
  <c r="M336" i="1"/>
  <c r="M335" i="1"/>
  <c r="M334" i="1"/>
  <c r="M333" i="1"/>
  <c r="M332" i="1"/>
  <c r="M331" i="1"/>
  <c r="M330" i="1"/>
  <c r="M329" i="1"/>
  <c r="M328" i="1"/>
  <c r="M327" i="1"/>
  <c r="M326" i="1"/>
  <c r="M325" i="1"/>
  <c r="M324" i="1"/>
  <c r="M323" i="1"/>
  <c r="M322" i="1"/>
  <c r="M321" i="1"/>
  <c r="M320" i="1"/>
  <c r="M319" i="1"/>
  <c r="M318" i="1"/>
  <c r="M317" i="1"/>
  <c r="M316" i="1"/>
  <c r="M315" i="1"/>
  <c r="M314" i="1"/>
  <c r="M313" i="1"/>
  <c r="M312" i="1"/>
  <c r="M311" i="1"/>
  <c r="M310" i="1"/>
  <c r="M309" i="1"/>
  <c r="M308" i="1"/>
  <c r="M307" i="1"/>
  <c r="M306" i="1"/>
  <c r="M305" i="1"/>
  <c r="M304" i="1"/>
  <c r="M303" i="1"/>
  <c r="M302" i="1"/>
  <c r="M301" i="1"/>
  <c r="M300" i="1"/>
  <c r="M299" i="1"/>
  <c r="M298" i="1"/>
  <c r="M297" i="1"/>
  <c r="M296" i="1"/>
  <c r="M295" i="1"/>
  <c r="M294" i="1"/>
  <c r="M293" i="1"/>
  <c r="M292" i="1"/>
  <c r="M291" i="1"/>
  <c r="M290" i="1"/>
  <c r="M289" i="1"/>
  <c r="M288" i="1"/>
  <c r="M287" i="1"/>
  <c r="M286" i="1"/>
  <c r="M285" i="1"/>
  <c r="M284" i="1"/>
  <c r="M283" i="1"/>
  <c r="M282" i="1"/>
  <c r="M281" i="1"/>
  <c r="M280" i="1"/>
  <c r="M279" i="1"/>
  <c r="M278" i="1"/>
  <c r="M277" i="1"/>
  <c r="M276" i="1"/>
  <c r="M275" i="1"/>
  <c r="M274" i="1"/>
  <c r="M273" i="1"/>
  <c r="M272" i="1"/>
  <c r="M271" i="1"/>
  <c r="M270" i="1"/>
  <c r="M269" i="1"/>
  <c r="M268" i="1"/>
  <c r="M267" i="1"/>
  <c r="M266" i="1"/>
  <c r="M265" i="1"/>
  <c r="M264" i="1"/>
  <c r="M263" i="1"/>
  <c r="M262" i="1"/>
  <c r="M261" i="1"/>
  <c r="M260" i="1"/>
  <c r="M259" i="1"/>
  <c r="M258" i="1"/>
  <c r="M257" i="1"/>
  <c r="M256" i="1"/>
  <c r="M255" i="1"/>
  <c r="M254" i="1"/>
  <c r="M253" i="1"/>
  <c r="M252" i="1"/>
  <c r="M251" i="1"/>
  <c r="M250" i="1"/>
  <c r="M249" i="1"/>
  <c r="M248" i="1"/>
  <c r="M247" i="1"/>
  <c r="M246" i="1"/>
  <c r="M245" i="1"/>
  <c r="M244" i="1"/>
  <c r="M243" i="1"/>
  <c r="M242" i="1"/>
  <c r="M241" i="1"/>
  <c r="M240" i="1"/>
  <c r="M239" i="1"/>
  <c r="M238" i="1"/>
  <c r="M237" i="1"/>
  <c r="M236" i="1"/>
  <c r="M235" i="1"/>
  <c r="M234" i="1"/>
  <c r="M233" i="1"/>
  <c r="M232" i="1"/>
  <c r="M231" i="1"/>
  <c r="M230" i="1"/>
  <c r="M229" i="1"/>
  <c r="M228" i="1"/>
  <c r="M227" i="1"/>
  <c r="M226" i="1"/>
  <c r="M225" i="1"/>
  <c r="M224" i="1"/>
  <c r="M223" i="1"/>
  <c r="M222" i="1"/>
  <c r="M221" i="1"/>
  <c r="M220" i="1"/>
  <c r="M219" i="1"/>
  <c r="M218" i="1"/>
  <c r="M217" i="1"/>
  <c r="M216" i="1"/>
  <c r="M215" i="1"/>
  <c r="M214" i="1"/>
  <c r="M213" i="1"/>
  <c r="M212" i="1"/>
  <c r="M211" i="1"/>
  <c r="M210" i="1"/>
  <c r="M209" i="1"/>
  <c r="M208" i="1"/>
  <c r="M207" i="1"/>
  <c r="M206" i="1"/>
  <c r="M205" i="1"/>
  <c r="M204" i="1"/>
  <c r="M203" i="1"/>
  <c r="M202" i="1"/>
  <c r="M201" i="1"/>
  <c r="M200" i="1"/>
  <c r="M199" i="1"/>
  <c r="M198" i="1"/>
  <c r="M197" i="1"/>
  <c r="M196" i="1"/>
  <c r="M195" i="1"/>
  <c r="M194" i="1"/>
  <c r="M193" i="1"/>
  <c r="M192" i="1"/>
  <c r="M191" i="1"/>
  <c r="M190" i="1"/>
  <c r="M189" i="1"/>
  <c r="M188" i="1"/>
  <c r="M187" i="1"/>
  <c r="M186" i="1"/>
  <c r="M185" i="1"/>
  <c r="M184" i="1"/>
  <c r="M183" i="1"/>
  <c r="M182" i="1"/>
  <c r="M181" i="1"/>
  <c r="M180" i="1"/>
  <c r="M179" i="1"/>
  <c r="M178" i="1"/>
  <c r="M177" i="1"/>
  <c r="M176" i="1"/>
  <c r="M175" i="1"/>
  <c r="M174" i="1"/>
  <c r="M173" i="1"/>
  <c r="M172" i="1"/>
  <c r="M171" i="1"/>
  <c r="M170" i="1"/>
  <c r="M169" i="1"/>
  <c r="M168" i="1"/>
  <c r="M167" i="1"/>
  <c r="M166" i="1"/>
  <c r="M165" i="1"/>
  <c r="M164" i="1"/>
  <c r="M163" i="1"/>
  <c r="M162" i="1"/>
  <c r="M161" i="1"/>
  <c r="M160" i="1"/>
  <c r="M159" i="1"/>
  <c r="M158" i="1"/>
  <c r="M157" i="1"/>
  <c r="M156" i="1"/>
  <c r="M155" i="1"/>
  <c r="M154" i="1"/>
  <c r="M153" i="1"/>
  <c r="M152" i="1"/>
  <c r="M151" i="1"/>
  <c r="M150" i="1"/>
  <c r="M149" i="1"/>
  <c r="M148" i="1"/>
  <c r="M147" i="1"/>
  <c r="M146" i="1"/>
  <c r="M145" i="1"/>
  <c r="M144" i="1"/>
  <c r="M143" i="1"/>
  <c r="M142" i="1"/>
  <c r="M141" i="1"/>
  <c r="M140" i="1"/>
  <c r="M139" i="1"/>
  <c r="M138" i="1"/>
  <c r="M137" i="1"/>
  <c r="M136" i="1"/>
  <c r="M135" i="1"/>
  <c r="M134" i="1"/>
  <c r="M133" i="1"/>
  <c r="M132" i="1"/>
  <c r="M131" i="1"/>
  <c r="M130" i="1"/>
  <c r="M129" i="1"/>
  <c r="M128" i="1"/>
  <c r="M127" i="1"/>
  <c r="M126" i="1"/>
  <c r="M125" i="1"/>
  <c r="M124" i="1"/>
  <c r="M123" i="1"/>
  <c r="M122" i="1"/>
  <c r="M121" i="1"/>
  <c r="M120" i="1"/>
  <c r="M119" i="1"/>
  <c r="M118" i="1"/>
  <c r="M117" i="1"/>
  <c r="M116" i="1"/>
  <c r="M115" i="1"/>
  <c r="M114" i="1"/>
  <c r="M113" i="1"/>
  <c r="M112" i="1"/>
  <c r="M111" i="1"/>
  <c r="M110" i="1"/>
  <c r="M109" i="1"/>
  <c r="M108" i="1"/>
  <c r="M107" i="1"/>
  <c r="M106" i="1"/>
  <c r="M105" i="1"/>
  <c r="M104" i="1"/>
  <c r="M103" i="1"/>
  <c r="M102" i="1"/>
  <c r="M101" i="1"/>
  <c r="M100" i="1"/>
  <c r="M99" i="1"/>
  <c r="M98" i="1"/>
  <c r="M97" i="1"/>
  <c r="M96" i="1"/>
  <c r="M95" i="1"/>
  <c r="M94" i="1"/>
  <c r="M93" i="1"/>
  <c r="M92" i="1"/>
  <c r="M91" i="1"/>
  <c r="M90" i="1"/>
  <c r="M89" i="1"/>
  <c r="M88" i="1"/>
  <c r="M87" i="1"/>
  <c r="M86" i="1"/>
  <c r="M85" i="1"/>
  <c r="M84" i="1"/>
  <c r="M83" i="1"/>
  <c r="M82" i="1"/>
  <c r="M81" i="1"/>
  <c r="M80" i="1"/>
  <c r="M79" i="1"/>
  <c r="M78" i="1"/>
  <c r="M77" i="1"/>
  <c r="M76" i="1"/>
  <c r="M75" i="1"/>
  <c r="M74" i="1"/>
  <c r="M73" i="1"/>
  <c r="M72" i="1"/>
  <c r="M71" i="1"/>
  <c r="M70" i="1"/>
  <c r="M69" i="1"/>
  <c r="M68" i="1"/>
  <c r="M67" i="1"/>
  <c r="M66" i="1"/>
  <c r="M65" i="1"/>
  <c r="M64" i="1"/>
  <c r="M63" i="1"/>
  <c r="M62" i="1"/>
  <c r="M61" i="1"/>
  <c r="M60" i="1"/>
  <c r="M59" i="1"/>
  <c r="M58" i="1"/>
  <c r="M57" i="1"/>
  <c r="M56" i="1"/>
  <c r="M55" i="1"/>
  <c r="M54" i="1"/>
  <c r="M53" i="1"/>
  <c r="M52" i="1"/>
  <c r="M51" i="1"/>
  <c r="M50" i="1"/>
  <c r="M49" i="1"/>
  <c r="M48" i="1"/>
  <c r="M47" i="1"/>
  <c r="M46" i="1"/>
  <c r="M45" i="1"/>
  <c r="M44" i="1"/>
  <c r="M43" i="1"/>
  <c r="M42" i="1"/>
  <c r="M41" i="1"/>
  <c r="M40" i="1"/>
  <c r="M39" i="1"/>
  <c r="M38" i="1"/>
  <c r="M37" i="1"/>
  <c r="M36" i="1"/>
  <c r="M35" i="1"/>
  <c r="M34" i="1"/>
  <c r="M33" i="1"/>
  <c r="M32" i="1"/>
  <c r="M31" i="1"/>
  <c r="M30" i="1"/>
  <c r="M29" i="1"/>
  <c r="M28" i="1"/>
  <c r="M27" i="1"/>
  <c r="M26" i="1"/>
  <c r="M25" i="1"/>
  <c r="M24" i="1"/>
  <c r="M23" i="1"/>
  <c r="M22" i="1"/>
  <c r="M21" i="1"/>
  <c r="M20" i="1"/>
  <c r="M19" i="1"/>
  <c r="M18" i="1"/>
  <c r="M17" i="1"/>
  <c r="M16" i="1"/>
  <c r="M15" i="1"/>
  <c r="M14" i="1"/>
  <c r="M13" i="1"/>
  <c r="M12" i="1"/>
  <c r="M11" i="1"/>
  <c r="M10" i="1"/>
  <c r="M9" i="1"/>
  <c r="M8" i="1"/>
  <c r="M7" i="1"/>
  <c r="M6" i="1"/>
  <c r="M5" i="1"/>
  <c r="M4" i="1"/>
  <c r="M3" i="1"/>
  <c r="M2" i="1"/>
  <c r="M39" i="2"/>
  <c r="M54" i="2"/>
  <c r="O343" i="1"/>
  <c r="O215" i="1"/>
  <c r="O87" i="1"/>
  <c r="O244" i="1"/>
  <c r="O306" i="1"/>
  <c r="O178" i="1"/>
  <c r="O50" i="1"/>
  <c r="O124" i="1"/>
  <c r="O265" i="1"/>
  <c r="O137" i="1"/>
  <c r="O9" i="1"/>
  <c r="M51" i="2"/>
  <c r="M66" i="2"/>
  <c r="M2" i="2"/>
  <c r="M37" i="2"/>
  <c r="M57" i="2"/>
  <c r="O287" i="1"/>
  <c r="O159" i="1"/>
  <c r="O31" i="1"/>
  <c r="O80" i="1"/>
  <c r="O250" i="1"/>
  <c r="O122" i="1"/>
  <c r="O324" i="1"/>
  <c r="O337" i="1"/>
  <c r="O209" i="1"/>
  <c r="O81" i="1"/>
  <c r="O156" i="1"/>
  <c r="M61" i="2"/>
  <c r="M10" i="2"/>
  <c r="O299" i="1"/>
  <c r="O107" i="1"/>
  <c r="O326" i="1"/>
  <c r="O70" i="1"/>
  <c r="O285" i="1"/>
  <c r="O29" i="1"/>
  <c r="O168" i="1"/>
  <c r="O110" i="1"/>
  <c r="O259" i="1"/>
  <c r="O3" i="1"/>
  <c r="O222" i="1"/>
  <c r="O252" i="1"/>
  <c r="O181" i="1"/>
  <c r="O174" i="1"/>
  <c r="O291" i="1"/>
  <c r="O27" i="1"/>
  <c r="O246" i="1"/>
  <c r="O316" i="1"/>
  <c r="O205" i="1"/>
  <c r="O144" i="1"/>
  <c r="O334" i="1"/>
  <c r="O69" i="1"/>
  <c r="L70" i="2"/>
  <c r="L37" i="2"/>
  <c r="N287" i="1"/>
  <c r="N159" i="1"/>
  <c r="N31" i="1"/>
  <c r="N250" i="1"/>
  <c r="N122" i="1"/>
  <c r="N341" i="1"/>
  <c r="N213" i="1"/>
  <c r="N61" i="1"/>
  <c r="N105" i="1"/>
  <c r="N120" i="1"/>
  <c r="N124" i="1"/>
  <c r="L51" i="2"/>
  <c r="N227" i="1"/>
  <c r="N190" i="1"/>
  <c r="L50" i="2"/>
  <c r="L17" i="2"/>
  <c r="N267" i="1"/>
  <c r="N139" i="1"/>
  <c r="N11" i="1"/>
  <c r="N230" i="1"/>
  <c r="N102" i="1"/>
  <c r="N321" i="1"/>
  <c r="N193" i="1"/>
  <c r="N21" i="1"/>
  <c r="N65" i="1"/>
  <c r="N80" i="1"/>
  <c r="L25" i="2"/>
  <c r="N19" i="1"/>
  <c r="L39" i="2"/>
  <c r="L64" i="2"/>
  <c r="N343" i="1"/>
  <c r="N215" i="1"/>
  <c r="N87" i="1"/>
  <c r="N306" i="1"/>
  <c r="N178" i="1"/>
  <c r="N50" i="1"/>
  <c r="N269" i="1"/>
  <c r="N173" i="1"/>
  <c r="N244" i="1"/>
  <c r="N272" i="1"/>
  <c r="N280" i="1"/>
  <c r="L19" i="2"/>
  <c r="N291" i="1"/>
  <c r="N254" i="1"/>
  <c r="N332" i="1"/>
  <c r="N68" i="1"/>
  <c r="N297" i="1"/>
  <c r="N32" i="1"/>
  <c r="N204" i="1"/>
  <c r="N46" i="1"/>
  <c r="M28" i="2"/>
  <c r="O210" i="1"/>
  <c r="O36" i="1"/>
  <c r="O191" i="1"/>
  <c r="O56" i="1"/>
  <c r="O331" i="1"/>
  <c r="O270" i="1"/>
  <c r="O245" i="1"/>
  <c r="O269" i="1"/>
  <c r="N319" i="1"/>
  <c r="N245" i="1"/>
  <c r="N286" i="1"/>
  <c r="N134" i="1"/>
  <c r="N144" i="1"/>
  <c r="N247" i="1"/>
  <c r="N284" i="1"/>
  <c r="N350" i="1"/>
  <c r="N328" i="1"/>
  <c r="O103" i="1"/>
  <c r="O176" i="1"/>
  <c r="M20" i="2"/>
  <c r="M23" i="2"/>
  <c r="M38" i="2"/>
  <c r="O327" i="1"/>
  <c r="O199" i="1"/>
  <c r="O71" i="1"/>
  <c r="O196" i="1"/>
  <c r="O290" i="1"/>
  <c r="O162" i="1"/>
  <c r="O34" i="1"/>
  <c r="O76" i="1"/>
  <c r="O249" i="1"/>
  <c r="O121" i="1"/>
  <c r="O288" i="1"/>
  <c r="M35" i="2"/>
  <c r="M50" i="2"/>
  <c r="O339" i="1"/>
  <c r="M5" i="2"/>
  <c r="M25" i="2"/>
  <c r="O271" i="1"/>
  <c r="O143" i="1"/>
  <c r="O15" i="1"/>
  <c r="O32" i="1"/>
  <c r="O234" i="1"/>
  <c r="O106" i="1"/>
  <c r="O284" i="1"/>
  <c r="O321" i="1"/>
  <c r="O193" i="1"/>
  <c r="O65" i="1"/>
  <c r="O108" i="1"/>
  <c r="M29" i="2"/>
  <c r="M49" i="2"/>
  <c r="O283" i="1"/>
  <c r="O75" i="1"/>
  <c r="O294" i="1"/>
  <c r="O38" i="1"/>
  <c r="O253" i="1"/>
  <c r="O304" i="1"/>
  <c r="O72" i="1"/>
  <c r="O14" i="1"/>
  <c r="O227" i="1"/>
  <c r="O280" i="1"/>
  <c r="O190" i="1"/>
  <c r="O164" i="1"/>
  <c r="O117" i="1"/>
  <c r="O78" i="1"/>
  <c r="O251" i="1"/>
  <c r="O336" i="1"/>
  <c r="O214" i="1"/>
  <c r="O228" i="1"/>
  <c r="O173" i="1"/>
  <c r="O48" i="1"/>
  <c r="O238" i="1"/>
  <c r="O5" i="1"/>
  <c r="L54" i="2"/>
  <c r="L21" i="2"/>
  <c r="N271" i="1"/>
  <c r="N143" i="1"/>
  <c r="N15" i="1"/>
  <c r="N234" i="1"/>
  <c r="N106" i="1"/>
  <c r="N325" i="1"/>
  <c r="N197" i="1"/>
  <c r="N29" i="1"/>
  <c r="N73" i="1"/>
  <c r="N88" i="1"/>
  <c r="N92" i="1"/>
  <c r="L58" i="2"/>
  <c r="N179" i="1"/>
  <c r="N142" i="1"/>
  <c r="L34" i="2"/>
  <c r="L68" i="2"/>
  <c r="N251" i="1"/>
  <c r="N123" i="1"/>
  <c r="N342" i="1"/>
  <c r="N214" i="1"/>
  <c r="N86" i="1"/>
  <c r="N305" i="1"/>
  <c r="N300" i="1"/>
  <c r="N20" i="1"/>
  <c r="N33" i="1"/>
  <c r="N48" i="1"/>
  <c r="L4" i="2"/>
  <c r="N318" i="1"/>
  <c r="L23" i="2"/>
  <c r="L20" i="2"/>
  <c r="N327" i="1"/>
  <c r="N199" i="1"/>
  <c r="N71" i="1"/>
  <c r="N290" i="1"/>
  <c r="N162" i="1"/>
  <c r="N34" i="1"/>
  <c r="N253" i="1"/>
  <c r="N141" i="1"/>
  <c r="N185" i="1"/>
  <c r="N208" i="1"/>
  <c r="N216" i="1"/>
  <c r="L3" i="2"/>
  <c r="N243" i="1"/>
  <c r="N206" i="1"/>
  <c r="N133" i="1"/>
  <c r="N164" i="1"/>
  <c r="N233" i="1"/>
  <c r="N265" i="1"/>
  <c r="N69" i="1"/>
  <c r="N329" i="1"/>
  <c r="M71" i="2"/>
  <c r="O82" i="1"/>
  <c r="M64" i="2"/>
  <c r="O282" i="1"/>
  <c r="O260" i="1"/>
  <c r="O134" i="1"/>
  <c r="O67" i="1"/>
  <c r="O91" i="1"/>
  <c r="O261" i="1"/>
  <c r="N282" i="1"/>
  <c r="N184" i="1"/>
  <c r="L49" i="2"/>
  <c r="N225" i="1"/>
  <c r="L60" i="2"/>
  <c r="N301" i="1"/>
  <c r="N40" i="1"/>
  <c r="N78" i="1"/>
  <c r="M8" i="2"/>
  <c r="O281" i="1"/>
  <c r="M7" i="2"/>
  <c r="M22" i="2"/>
  <c r="O311" i="1"/>
  <c r="O183" i="1"/>
  <c r="O55" i="1"/>
  <c r="O148" i="1"/>
  <c r="O274" i="1"/>
  <c r="O146" i="1"/>
  <c r="O18" i="1"/>
  <c r="O28" i="1"/>
  <c r="O233" i="1"/>
  <c r="O105" i="1"/>
  <c r="O236" i="1"/>
  <c r="M19" i="2"/>
  <c r="M34" i="2"/>
  <c r="M67" i="2"/>
  <c r="M44" i="2"/>
  <c r="M60" i="2"/>
  <c r="O255" i="1"/>
  <c r="O127" i="1"/>
  <c r="O344" i="1"/>
  <c r="O346" i="1"/>
  <c r="O218" i="1"/>
  <c r="O90" i="1"/>
  <c r="O240" i="1"/>
  <c r="O305" i="1"/>
  <c r="O177" i="1"/>
  <c r="O49" i="1"/>
  <c r="O60" i="1"/>
  <c r="M68" i="2"/>
  <c r="M17" i="2"/>
  <c r="O323" i="1"/>
  <c r="O43" i="1"/>
  <c r="O262" i="1"/>
  <c r="O6" i="1"/>
  <c r="O221" i="1"/>
  <c r="O192" i="1"/>
  <c r="O179" i="1"/>
  <c r="O112" i="1"/>
  <c r="O195" i="1"/>
  <c r="O184" i="1"/>
  <c r="O158" i="1"/>
  <c r="O68" i="1"/>
  <c r="O53" i="1"/>
  <c r="O296" i="1"/>
  <c r="O219" i="1"/>
  <c r="O256" i="1"/>
  <c r="O182" i="1"/>
  <c r="O140" i="1"/>
  <c r="O141" i="1"/>
  <c r="O275" i="1"/>
  <c r="O142" i="1"/>
  <c r="O24" i="1"/>
  <c r="L38" i="2"/>
  <c r="L5" i="2"/>
  <c r="N255" i="1"/>
  <c r="N127" i="1"/>
  <c r="N346" i="1"/>
  <c r="N218" i="1"/>
  <c r="N90" i="1"/>
  <c r="N309" i="1"/>
  <c r="N316" i="1"/>
  <c r="N28" i="1"/>
  <c r="N41" i="1"/>
  <c r="N56" i="1"/>
  <c r="N60" i="1"/>
  <c r="L26" i="2"/>
  <c r="N131" i="1"/>
  <c r="L59" i="2"/>
  <c r="L18" i="2"/>
  <c r="L28" i="2"/>
  <c r="N235" i="1"/>
  <c r="N107" i="1"/>
  <c r="N326" i="1"/>
  <c r="N198" i="1"/>
  <c r="N70" i="1"/>
  <c r="N289" i="1"/>
  <c r="N236" i="1"/>
  <c r="N324" i="1"/>
  <c r="N3" i="1"/>
  <c r="N16" i="1"/>
  <c r="N307" i="1"/>
  <c r="N270" i="1"/>
  <c r="L7" i="2"/>
  <c r="L61" i="2"/>
  <c r="N311" i="1"/>
  <c r="N183" i="1"/>
  <c r="N55" i="1"/>
  <c r="N274" i="1"/>
  <c r="N146" i="1"/>
  <c r="N18" i="1"/>
  <c r="N237" i="1"/>
  <c r="N109" i="1"/>
  <c r="N153" i="1"/>
  <c r="N168" i="1"/>
  <c r="N172" i="1"/>
  <c r="L12" i="2"/>
  <c r="N195" i="1"/>
  <c r="N158" i="1"/>
  <c r="N5" i="1"/>
  <c r="N36" i="1"/>
  <c r="N268" i="1"/>
  <c r="N228" i="1"/>
  <c r="N292" i="1"/>
  <c r="N201" i="1"/>
  <c r="N4" i="1"/>
  <c r="M40" i="2"/>
  <c r="O169" i="1"/>
  <c r="M30" i="2"/>
  <c r="O172" i="1"/>
  <c r="O113" i="1"/>
  <c r="O116" i="1"/>
  <c r="O220" i="1"/>
  <c r="O37" i="1"/>
  <c r="O51" i="1"/>
  <c r="N63" i="1"/>
  <c r="N125" i="1"/>
  <c r="N323" i="1"/>
  <c r="N43" i="1"/>
  <c r="N129" i="1"/>
  <c r="L30" i="2"/>
  <c r="N82" i="1"/>
  <c r="L48" i="2"/>
  <c r="N281" i="1"/>
  <c r="M70" i="2"/>
  <c r="O66" i="1"/>
  <c r="M53" i="2"/>
  <c r="M6" i="2"/>
  <c r="O295" i="1"/>
  <c r="O167" i="1"/>
  <c r="O39" i="1"/>
  <c r="O104" i="1"/>
  <c r="O258" i="1"/>
  <c r="O130" i="1"/>
  <c r="O348" i="1"/>
  <c r="O345" i="1"/>
  <c r="O217" i="1"/>
  <c r="O89" i="1"/>
  <c r="O180" i="1"/>
  <c r="M3" i="2"/>
  <c r="M18" i="2"/>
  <c r="M63" i="2"/>
  <c r="M12" i="2"/>
  <c r="M24" i="2"/>
  <c r="O239" i="1"/>
  <c r="O111" i="1"/>
  <c r="O312" i="1"/>
  <c r="O330" i="1"/>
  <c r="O202" i="1"/>
  <c r="O74" i="1"/>
  <c r="O200" i="1"/>
  <c r="O289" i="1"/>
  <c r="O161" i="1"/>
  <c r="O33" i="1"/>
  <c r="O12" i="1"/>
  <c r="M36" i="2"/>
  <c r="M52" i="2"/>
  <c r="O267" i="1"/>
  <c r="O11" i="1"/>
  <c r="O230" i="1"/>
  <c r="O276" i="1"/>
  <c r="O189" i="1"/>
  <c r="O96" i="1"/>
  <c r="O83" i="1"/>
  <c r="O293" i="1"/>
  <c r="O163" i="1"/>
  <c r="O92" i="1"/>
  <c r="O126" i="1"/>
  <c r="O341" i="1"/>
  <c r="O272" i="1"/>
  <c r="O325" i="1"/>
  <c r="O187" i="1"/>
  <c r="O160" i="1"/>
  <c r="O150" i="1"/>
  <c r="O40" i="1"/>
  <c r="O109" i="1"/>
  <c r="O243" i="1"/>
  <c r="O46" i="1"/>
  <c r="L63" i="2"/>
  <c r="L22" i="2"/>
  <c r="L36" i="2"/>
  <c r="N239" i="1"/>
  <c r="N111" i="1"/>
  <c r="N330" i="1"/>
  <c r="N202" i="1"/>
  <c r="N74" i="1"/>
  <c r="N293" i="1"/>
  <c r="N252" i="1"/>
  <c r="N340" i="1"/>
  <c r="N9" i="1"/>
  <c r="N24" i="1"/>
  <c r="N8" i="1"/>
  <c r="L8" i="2"/>
  <c r="N83" i="1"/>
  <c r="L43" i="2"/>
  <c r="L2" i="2"/>
  <c r="N347" i="1"/>
  <c r="N219" i="1"/>
  <c r="N91" i="1"/>
  <c r="N310" i="1"/>
  <c r="N182" i="1"/>
  <c r="N54" i="1"/>
  <c r="N273" i="1"/>
  <c r="N181" i="1"/>
  <c r="N260" i="1"/>
  <c r="N288" i="1"/>
  <c r="N232" i="1"/>
  <c r="N259" i="1"/>
  <c r="N222" i="1"/>
  <c r="L24" i="2"/>
  <c r="L45" i="2"/>
  <c r="N295" i="1"/>
  <c r="N167" i="1"/>
  <c r="N39" i="1"/>
  <c r="N258" i="1"/>
  <c r="N130" i="1"/>
  <c r="N349" i="1"/>
  <c r="N221" i="1"/>
  <c r="N77" i="1"/>
  <c r="N121" i="1"/>
  <c r="N136" i="1"/>
  <c r="N140" i="1"/>
  <c r="L42" i="2"/>
  <c r="N147" i="1"/>
  <c r="N110" i="1"/>
  <c r="N177" i="1"/>
  <c r="N165" i="1"/>
  <c r="N101" i="1"/>
  <c r="N96" i="1"/>
  <c r="N113" i="1"/>
  <c r="N37" i="1"/>
  <c r="N62" i="1"/>
  <c r="N256" i="1"/>
  <c r="O119" i="1"/>
  <c r="O224" i="1"/>
  <c r="M48" i="2"/>
  <c r="O63" i="1"/>
  <c r="O241" i="1"/>
  <c r="O171" i="1"/>
  <c r="O93" i="1"/>
  <c r="O30" i="1"/>
  <c r="O310" i="1"/>
  <c r="L15" i="2"/>
  <c r="N154" i="1"/>
  <c r="N116" i="1"/>
  <c r="N171" i="1"/>
  <c r="N85" i="1"/>
  <c r="L71" i="2"/>
  <c r="N210" i="1"/>
  <c r="N44" i="1"/>
  <c r="N17" i="1"/>
  <c r="O231" i="1"/>
  <c r="O322" i="1"/>
  <c r="M21" i="2"/>
  <c r="M41" i="2"/>
  <c r="O279" i="1"/>
  <c r="O151" i="1"/>
  <c r="O23" i="1"/>
  <c r="O52" i="1"/>
  <c r="O242" i="1"/>
  <c r="O114" i="1"/>
  <c r="O308" i="1"/>
  <c r="O329" i="1"/>
  <c r="O201" i="1"/>
  <c r="O73" i="1"/>
  <c r="O132" i="1"/>
  <c r="M45" i="2"/>
  <c r="M65" i="2"/>
  <c r="M47" i="2"/>
  <c r="M62" i="2"/>
  <c r="O351" i="1"/>
  <c r="O223" i="1"/>
  <c r="O95" i="1"/>
  <c r="O264" i="1"/>
  <c r="O314" i="1"/>
  <c r="O186" i="1"/>
  <c r="O58" i="1"/>
  <c r="O152" i="1"/>
  <c r="O273" i="1"/>
  <c r="O145" i="1"/>
  <c r="O17" i="1"/>
  <c r="M59" i="2"/>
  <c r="M4" i="2"/>
  <c r="M16" i="2"/>
  <c r="O235" i="1"/>
  <c r="O300" i="1"/>
  <c r="O198" i="1"/>
  <c r="O188" i="1"/>
  <c r="O157" i="1"/>
  <c r="O2" i="1"/>
  <c r="O320" i="1"/>
  <c r="O197" i="1"/>
  <c r="O131" i="1"/>
  <c r="O350" i="1"/>
  <c r="O94" i="1"/>
  <c r="O309" i="1"/>
  <c r="O147" i="1"/>
  <c r="O229" i="1"/>
  <c r="O155" i="1"/>
  <c r="O64" i="1"/>
  <c r="O118" i="1"/>
  <c r="O333" i="1"/>
  <c r="O77" i="1"/>
  <c r="O211" i="1"/>
  <c r="O212" i="1"/>
  <c r="L47" i="2"/>
  <c r="L6" i="2"/>
  <c r="N351" i="1"/>
  <c r="N223" i="1"/>
  <c r="N95" i="1"/>
  <c r="N314" i="1"/>
  <c r="N186" i="1"/>
  <c r="N58" i="1"/>
  <c r="N277" i="1"/>
  <c r="N189" i="1"/>
  <c r="N276" i="1"/>
  <c r="N304" i="1"/>
  <c r="N312" i="1"/>
  <c r="N296" i="1"/>
  <c r="L57" i="2"/>
  <c r="N35" i="1"/>
  <c r="L27" i="2"/>
  <c r="L32" i="2"/>
  <c r="N331" i="1"/>
  <c r="N203" i="1"/>
  <c r="N75" i="1"/>
  <c r="N294" i="1"/>
  <c r="N166" i="1"/>
  <c r="N38" i="1"/>
  <c r="N257" i="1"/>
  <c r="N149" i="1"/>
  <c r="N196" i="1"/>
  <c r="N224" i="1"/>
  <c r="N148" i="1"/>
  <c r="N211" i="1"/>
  <c r="N174" i="1"/>
  <c r="L62" i="2"/>
  <c r="L29" i="2"/>
  <c r="N279" i="1"/>
  <c r="N151" i="1"/>
  <c r="N23" i="1"/>
  <c r="N242" i="1"/>
  <c r="N114" i="1"/>
  <c r="N333" i="1"/>
  <c r="N205" i="1"/>
  <c r="N45" i="1"/>
  <c r="N89" i="1"/>
  <c r="N104" i="1"/>
  <c r="N108" i="1"/>
  <c r="L10" i="2"/>
  <c r="N99" i="1"/>
  <c r="N94" i="1"/>
  <c r="N49" i="1"/>
  <c r="N81" i="1"/>
  <c r="N320" i="1"/>
  <c r="O247" i="1"/>
  <c r="O338" i="1"/>
  <c r="O41" i="1"/>
  <c r="O319" i="1"/>
  <c r="O26" i="1"/>
  <c r="M42" i="2"/>
  <c r="O85" i="1"/>
  <c r="O136" i="1"/>
  <c r="O13" i="1"/>
  <c r="N191" i="1"/>
  <c r="N169" i="1"/>
  <c r="L40" i="2"/>
  <c r="N262" i="1"/>
  <c r="L35" i="2"/>
  <c r="N119" i="1"/>
  <c r="N12" i="1"/>
  <c r="N313" i="1"/>
  <c r="M55" i="2"/>
  <c r="O194" i="1"/>
  <c r="N2" i="1"/>
  <c r="M56" i="2"/>
  <c r="M9" i="2"/>
  <c r="O263" i="1"/>
  <c r="O135" i="1"/>
  <c r="O7" i="1"/>
  <c r="O8" i="1"/>
  <c r="O226" i="1"/>
  <c r="O98" i="1"/>
  <c r="O268" i="1"/>
  <c r="O313" i="1"/>
  <c r="O185" i="1"/>
  <c r="O57" i="1"/>
  <c r="O84" i="1"/>
  <c r="M13" i="2"/>
  <c r="M33" i="2"/>
  <c r="M31" i="2"/>
  <c r="M46" i="2"/>
  <c r="O335" i="1"/>
  <c r="O207" i="1"/>
  <c r="O79" i="1"/>
  <c r="O216" i="1"/>
  <c r="O298" i="1"/>
  <c r="O170" i="1"/>
  <c r="O42" i="1"/>
  <c r="O100" i="1"/>
  <c r="O257" i="1"/>
  <c r="O129" i="1"/>
  <c r="O340" i="1"/>
  <c r="M43" i="2"/>
  <c r="M58" i="2"/>
  <c r="O347" i="1"/>
  <c r="O203" i="1"/>
  <c r="O208" i="1"/>
  <c r="O166" i="1"/>
  <c r="O88" i="1"/>
  <c r="O125" i="1"/>
  <c r="O149" i="1"/>
  <c r="O44" i="1"/>
  <c r="O101" i="1"/>
  <c r="O99" i="1"/>
  <c r="O318" i="1"/>
  <c r="O62" i="1"/>
  <c r="O277" i="1"/>
  <c r="O19" i="1"/>
  <c r="O133" i="1"/>
  <c r="O123" i="1"/>
  <c r="O342" i="1"/>
  <c r="O86" i="1"/>
  <c r="O301" i="1"/>
  <c r="O45" i="1"/>
  <c r="O115" i="1"/>
  <c r="O16" i="1"/>
  <c r="L31" i="2"/>
  <c r="L44" i="2"/>
  <c r="N335" i="1"/>
  <c r="N207" i="1"/>
  <c r="N79" i="1"/>
  <c r="N298" i="1"/>
  <c r="N170" i="1"/>
  <c r="N42" i="1"/>
  <c r="N261" i="1"/>
  <c r="N157" i="1"/>
  <c r="N212" i="1"/>
  <c r="N240" i="1"/>
  <c r="N248" i="1"/>
  <c r="N180" i="1"/>
  <c r="L9" i="2"/>
  <c r="N334" i="1"/>
  <c r="L11" i="2"/>
  <c r="L65" i="2"/>
  <c r="N315" i="1"/>
  <c r="N187" i="1"/>
  <c r="N59" i="1"/>
  <c r="N278" i="1"/>
  <c r="N150" i="1"/>
  <c r="N22" i="1"/>
  <c r="N241" i="1"/>
  <c r="N117" i="1"/>
  <c r="N161" i="1"/>
  <c r="N176" i="1"/>
  <c r="N84" i="1"/>
  <c r="N163" i="1"/>
  <c r="N126" i="1"/>
  <c r="L46" i="2"/>
  <c r="L13" i="2"/>
  <c r="N263" i="1"/>
  <c r="N135" i="1"/>
  <c r="N7" i="1"/>
  <c r="N226" i="1"/>
  <c r="N98" i="1"/>
  <c r="N317" i="1"/>
  <c r="N348" i="1"/>
  <c r="N13" i="1"/>
  <c r="N57" i="1"/>
  <c r="N72" i="1"/>
  <c r="N76" i="1"/>
  <c r="L41" i="2"/>
  <c r="N51" i="1"/>
  <c r="N30" i="1"/>
  <c r="N192" i="1"/>
  <c r="N264" i="1"/>
  <c r="N145" i="1"/>
  <c r="N345" i="1"/>
  <c r="N128" i="1"/>
  <c r="N100" i="1"/>
  <c r="O328" i="1"/>
  <c r="O297" i="1"/>
  <c r="M15" i="2"/>
  <c r="O154" i="1"/>
  <c r="M27" i="2"/>
  <c r="O349" i="1"/>
  <c r="O286" i="1"/>
  <c r="O54" i="1"/>
  <c r="L69" i="2"/>
  <c r="N26" i="1"/>
  <c r="N188" i="1"/>
  <c r="N299" i="1"/>
  <c r="N6" i="1"/>
  <c r="N115" i="1"/>
  <c r="N338" i="1"/>
  <c r="N25" i="1"/>
  <c r="N64" i="1"/>
  <c r="O292" i="1"/>
  <c r="O153" i="1"/>
  <c r="O25" i="1"/>
  <c r="O266" i="1"/>
  <c r="M26" i="2"/>
  <c r="O206" i="1"/>
  <c r="O59" i="1"/>
  <c r="L53" i="2"/>
  <c r="N93" i="1"/>
  <c r="L33" i="2"/>
  <c r="N53" i="1"/>
  <c r="N231" i="1"/>
  <c r="N336" i="1"/>
  <c r="N160" i="1"/>
  <c r="N344" i="1"/>
  <c r="N155" i="1"/>
  <c r="L67" i="2"/>
  <c r="N66" i="1"/>
  <c r="L55" i="2"/>
  <c r="O204" i="1"/>
  <c r="N200" i="1"/>
  <c r="N229" i="1"/>
  <c r="N14" i="1"/>
  <c r="M32" i="2"/>
  <c r="O138" i="1"/>
  <c r="O315" i="1"/>
  <c r="O307" i="1"/>
  <c r="O278" i="1"/>
  <c r="N303" i="1"/>
  <c r="N137" i="1"/>
  <c r="N283" i="1"/>
  <c r="N97" i="1"/>
  <c r="N103" i="1"/>
  <c r="N217" i="1"/>
  <c r="N322" i="1"/>
  <c r="N194" i="1"/>
  <c r="N118" i="1"/>
  <c r="O47" i="1"/>
  <c r="N220" i="1"/>
  <c r="O120" i="1"/>
  <c r="N209" i="1"/>
  <c r="M69" i="2"/>
  <c r="O10" i="1"/>
  <c r="O139" i="1"/>
  <c r="O35" i="1"/>
  <c r="O22" i="1"/>
  <c r="N175" i="1"/>
  <c r="N152" i="1"/>
  <c r="N112" i="1"/>
  <c r="N132" i="1"/>
  <c r="N275" i="1"/>
  <c r="O165" i="1"/>
  <c r="N238" i="1"/>
  <c r="M11" i="2"/>
  <c r="L66" i="2"/>
  <c r="M14" i="2"/>
  <c r="O4" i="1"/>
  <c r="O20" i="1"/>
  <c r="O254" i="1"/>
  <c r="O237" i="1"/>
  <c r="N47" i="1"/>
  <c r="N156" i="1"/>
  <c r="N27" i="1"/>
  <c r="L56" i="2"/>
  <c r="N339" i="1"/>
  <c r="N285" i="1"/>
  <c r="O302" i="1"/>
  <c r="N337" i="1"/>
  <c r="O21" i="1"/>
  <c r="L16" i="2"/>
  <c r="O303" i="1"/>
  <c r="O225" i="1"/>
  <c r="O102" i="1"/>
  <c r="O332" i="1"/>
  <c r="O248" i="1"/>
  <c r="N266" i="1"/>
  <c r="N52" i="1"/>
  <c r="N246" i="1"/>
  <c r="N67" i="1"/>
  <c r="N302" i="1"/>
  <c r="N249" i="1"/>
  <c r="N10" i="1"/>
  <c r="O128" i="1"/>
  <c r="L52" i="2"/>
  <c r="O175" i="1"/>
  <c r="O97" i="1"/>
  <c r="O317" i="1"/>
  <c r="O213" i="1"/>
  <c r="O232" i="1"/>
  <c r="N138" i="1"/>
  <c r="O61" i="1"/>
  <c r="L14" i="2"/>
  <c r="N308" i="1"/>
</calcChain>
</file>

<file path=xl/sharedStrings.xml><?xml version="1.0" encoding="utf-8"?>
<sst xmlns="http://schemas.openxmlformats.org/spreadsheetml/2006/main" count="96" uniqueCount="15">
  <si>
    <t>Htr/Hrms</t>
  </si>
  <si>
    <t>H1/Hrms</t>
  </si>
  <si>
    <t>H2/Hrms</t>
  </si>
  <si>
    <t>H1/3/Hrms</t>
  </si>
  <si>
    <t>H1/10/Hrms</t>
  </si>
  <si>
    <t>H1/50/Hrms</t>
  </si>
  <si>
    <t>H1/100/Hrms</t>
  </si>
  <si>
    <t>H1/1000/Hrms</t>
  </si>
  <si>
    <t>verify1</t>
  </si>
  <si>
    <t>verify2</t>
  </si>
  <si>
    <t>H1/250/Hrms</t>
  </si>
  <si>
    <t>NaN</t>
  </si>
  <si>
    <t>verify3</t>
  </si>
  <si>
    <t>H1_initial</t>
  </si>
  <si>
    <t>H2_initial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</si>
</sst>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E+00"/>
    <numFmt numFmtId="165" formatCode="0.00000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b/>
      <sz val="11"/>
      <color theme="0" tint="-0.34998626667073579"/>
      <name val="Arial"/>
      <family val="2"/>
    </font>
    <font>
      <sz val="11"/>
      <color theme="0" tint="-0.34998626667073579"/>
      <name val="Arial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1">
    <xf numFmtId="0" fontId="0" fillId="0" borderId="0" xfId="0"/>
    <xf numFmtId="0" fontId="19" fillId="0" borderId="0" xfId="0" applyFont="1"/>
    <xf numFmtId="0" fontId="18" fillId="0" borderId="0" xfId="0" applyFont="1" applyAlignment="1">
      <alignment horizontal="right"/>
    </xf>
    <xf numFmtId="0" fontId="19" fillId="0" borderId="0" xfId="0" applyFont="1" applyAlignment="1">
      <alignment horizontal="right"/>
    </xf>
    <xf numFmtId="0" fontId="18" fillId="0" borderId="10" xfId="0" applyFont="1" applyBorder="1" applyAlignment="1">
      <alignment horizontal="right"/>
    </xf>
    <xf numFmtId="165" fontId="19" fillId="0" borderId="10" xfId="0" applyNumberFormat="1" applyFont="1" applyBorder="1"/>
    <xf numFmtId="165" fontId="19" fillId="0" borderId="10" xfId="0" applyNumberFormat="1" applyFont="1" applyBorder="1" applyAlignment="1">
      <alignment horizontal="right"/>
    </xf>
    <xf numFmtId="0" fontId="20" fillId="0" borderId="0" xfId="0" applyFont="1" applyAlignment="1">
      <alignment horizontal="right"/>
    </xf>
    <xf numFmtId="164" fontId="21" fillId="0" borderId="0" xfId="0" applyNumberFormat="1" applyFont="1" applyAlignment="1">
      <alignment horizontal="right"/>
    </xf>
    <xf numFmtId="2" fontId="19" fillId="0" borderId="10" xfId="0" applyNumberFormat="1" applyFont="1" applyBorder="1"/>
    <xf numFmtId="165" fontId="21" fillId="0" borderId="0" xfId="0" applyNumberFormat="1" applyFont="1" applyAlignment="1">
      <alignment horizontal="right"/>
    </xf>
  </cellXfs>
  <cellStyles count="42">
    <cellStyle name="20% - Cor1" xfId="19" builtinId="30" customBuiltin="1"/>
    <cellStyle name="20% - Cor2" xfId="23" builtinId="34" customBuiltin="1"/>
    <cellStyle name="20% - Cor3" xfId="27" builtinId="38" customBuiltin="1"/>
    <cellStyle name="20% - Cor4" xfId="31" builtinId="42" customBuiltin="1"/>
    <cellStyle name="20% - Cor5" xfId="35" builtinId="46" customBuiltin="1"/>
    <cellStyle name="20% - Cor6" xfId="39" builtinId="50" customBuiltin="1"/>
    <cellStyle name="40% - Cor1" xfId="20" builtinId="31" customBuiltin="1"/>
    <cellStyle name="40% - Cor2" xfId="24" builtinId="35" customBuiltin="1"/>
    <cellStyle name="40% - Cor3" xfId="28" builtinId="39" customBuiltin="1"/>
    <cellStyle name="40% - Cor4" xfId="32" builtinId="43" customBuiltin="1"/>
    <cellStyle name="40% - Cor5" xfId="36" builtinId="47" customBuiltin="1"/>
    <cellStyle name="40% - Cor6" xfId="40" builtinId="51" customBuiltin="1"/>
    <cellStyle name="60% - Cor1" xfId="21" builtinId="32" customBuiltin="1"/>
    <cellStyle name="60% - Cor2" xfId="25" builtinId="36" customBuiltin="1"/>
    <cellStyle name="60% - Cor3" xfId="29" builtinId="40" customBuiltin="1"/>
    <cellStyle name="60% - Cor4" xfId="33" builtinId="44" customBuiltin="1"/>
    <cellStyle name="60% - Cor5" xfId="37" builtinId="48" customBuiltin="1"/>
    <cellStyle name="60% - Cor6" xfId="41" builtinId="52" customBuiltin="1"/>
    <cellStyle name="Cabeçalho 1" xfId="2" builtinId="16" customBuiltin="1"/>
    <cellStyle name="Cabeçalho 2" xfId="3" builtinId="17" customBuiltin="1"/>
    <cellStyle name="Cabeçalho 3" xfId="4" builtinId="18" customBuiltin="1"/>
    <cellStyle name="Cabeçalho 4" xfId="5" builtinId="19" customBuiltin="1"/>
    <cellStyle name="Cálculo" xfId="11" builtinId="22" customBuiltin="1"/>
    <cellStyle name="Célula Ligada" xfId="12" builtinId="24" customBuiltin="1"/>
    <cellStyle name="Cor1" xfId="18" builtinId="29" customBuiltin="1"/>
    <cellStyle name="Cor2" xfId="22" builtinId="33" customBuiltin="1"/>
    <cellStyle name="Cor3" xfId="26" builtinId="37" customBuiltin="1"/>
    <cellStyle name="Cor4" xfId="30" builtinId="41" customBuiltin="1"/>
    <cellStyle name="Cor5" xfId="34" builtinId="45" customBuiltin="1"/>
    <cellStyle name="Cor6" xfId="38" builtinId="49" customBuiltin="1"/>
    <cellStyle name="Correto" xfId="6" builtinId="26" customBuiltin="1"/>
    <cellStyle name="Entrada" xfId="9" builtinId="20" customBuiltin="1"/>
    <cellStyle name="Incorreto" xfId="7" builtinId="27" customBuiltin="1"/>
    <cellStyle name="Neutro" xfId="8" builtinId="28" customBuiltin="1"/>
    <cellStyle name="Normal" xfId="0" builtinId="0"/>
    <cellStyle name="Nota" xfId="15" builtinId="10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otal" xfId="17" builtinId="25" customBuiltin="1"/>
    <cellStyle name="Verificar Célula" xfId="13" builtinId="23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O351"/>
  <sheetViews>
    <sheetView showGridLines="0" tabSelected="1" workbookViewId="0"/>
  </sheetViews>
  <sheetFormatPr defaultColWidth="9.109375" defaultRowHeight="13.8" x14ac:dyDescent="0.25"/>
  <cols>
    <col min="1" max="9" width="14.5546875" style="3" customWidth="1"/>
    <col min="10" max="10" width="3.109375" style="3" customWidth="1"/>
    <col min="11" max="15" width="13" style="3" customWidth="1"/>
    <col min="16" max="16384" width="9.109375" style="3"/>
  </cols>
  <sheetData>
    <row r="1" spans="1:15" x14ac:dyDescent="0.25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10</v>
      </c>
      <c r="I1" s="4" t="s">
        <v>7</v>
      </c>
      <c r="J1" s="2"/>
      <c r="K1" s="7" t="s">
        <v>13</v>
      </c>
      <c r="L1" s="7" t="s">
        <v>14</v>
      </c>
      <c r="M1" s="7" t="s">
        <v>8</v>
      </c>
      <c r="N1" s="7" t="s">
        <v>9</v>
      </c>
      <c r="O1" s="7" t="s">
        <v>12</v>
      </c>
    </row>
    <row r="2" spans="1:15" x14ac:dyDescent="0.25">
      <c r="A2" s="9">
        <v>0.01</v>
      </c>
      <c r="B2" s="5">
        <v>44.2448132805428</v>
      </c>
      <c r="C2" s="5">
        <v>1.0604228894657799</v>
      </c>
      <c r="D2" s="5">
        <v>1.27951414270571</v>
      </c>
      <c r="E2" s="5">
        <v>1.4666317219704801</v>
      </c>
      <c r="F2" s="5">
        <v>1.64418346886897</v>
      </c>
      <c r="G2" s="5">
        <v>1.7069382014577601</v>
      </c>
      <c r="H2" s="5">
        <v>1.78149538754077</v>
      </c>
      <c r="I2" s="5">
        <v>1.8806794156376301</v>
      </c>
      <c r="J2" s="1"/>
      <c r="K2" s="10">
        <f>GetH1Initial(A2)</f>
        <v>44.167717072241594</v>
      </c>
      <c r="L2" s="10">
        <f>GetH2Initial(A2)</f>
        <v>1.0592596654902957</v>
      </c>
      <c r="M2" s="8">
        <f>(A2/B2)^2-(A2/C2)^3.6</f>
        <v>3.8898794977338197E-16</v>
      </c>
      <c r="N2" s="8">
        <f>B2^2* UnnormalizedLowerIncompleteGamma(2/2 + 1, (A2/B2)^(2)) + C2^2 *UnnormalizedUpperIncompleteGamma(2/3.6 + 1, (A2/C2)^(3.6)) - 1</f>
        <v>-1.6431300764452317E-14</v>
      </c>
      <c r="O2" s="8">
        <f>CalculateF1_ForCell(A2,B2,C2)</f>
        <v>-1.6431300764452317E-14</v>
      </c>
    </row>
    <row r="3" spans="1:15" x14ac:dyDescent="0.25">
      <c r="A3" s="9">
        <v>0.02</v>
      </c>
      <c r="B3" s="5">
        <v>25.4119721932021</v>
      </c>
      <c r="C3" s="5">
        <v>1.0604228894841601</v>
      </c>
      <c r="D3" s="5">
        <v>1.27951414272789</v>
      </c>
      <c r="E3" s="5">
        <v>1.4666317219959</v>
      </c>
      <c r="F3" s="5">
        <v>1.6441834688974699</v>
      </c>
      <c r="G3" s="5">
        <v>1.70693820148735</v>
      </c>
      <c r="H3" s="5">
        <v>1.7814953875716499</v>
      </c>
      <c r="I3" s="5">
        <v>1.88067941567023</v>
      </c>
      <c r="J3" s="1"/>
      <c r="K3" s="10">
        <f t="shared" ref="K3:K66" si="0">GetH1Initial(A3)</f>
        <v>25.474612008867201</v>
      </c>
      <c r="L3" s="10">
        <f>GetH2Initial(A3)</f>
        <v>1.0592596667368954</v>
      </c>
      <c r="M3" s="8">
        <f t="shared" ref="M3:M66" si="1">(A3/B3)^2-(A3/C3)^3.6</f>
        <v>1.0042526384183023E-15</v>
      </c>
      <c r="N3" s="8">
        <f>B3^2* UnnormalizedLowerIncompleteGamma(2/2 + 1, (A3/B3)^(2)) + C3^2 *UnnormalizedUpperIncompleteGamma(2/3.6 + 1, (A3/C3)^(3.6)) - 1</f>
        <v>-1.6209256159527285E-14</v>
      </c>
      <c r="O3" s="8">
        <f t="shared" ref="O3:O66" si="2">CalculateF1_ForCell(A3,B3,C3)</f>
        <v>-1.6209256159527285E-14</v>
      </c>
    </row>
    <row r="4" spans="1:15" x14ac:dyDescent="0.25">
      <c r="A4" s="9">
        <v>0.03</v>
      </c>
      <c r="B4" s="5">
        <v>18.372376996688502</v>
      </c>
      <c r="C4" s="5">
        <v>1.0604228896471599</v>
      </c>
      <c r="D4" s="5">
        <v>1.27951414292456</v>
      </c>
      <c r="E4" s="5">
        <v>1.4666317222213401</v>
      </c>
      <c r="F4" s="5">
        <v>1.64418346915019</v>
      </c>
      <c r="G4" s="5">
        <v>1.7069382017497201</v>
      </c>
      <c r="H4" s="5">
        <v>1.78149538784548</v>
      </c>
      <c r="I4" s="5">
        <v>1.8806794159593101</v>
      </c>
      <c r="J4" s="1"/>
      <c r="K4" s="10">
        <f t="shared" si="0"/>
        <v>18.452984931416495</v>
      </c>
      <c r="L4" s="10">
        <f t="shared" ref="L4:L66" si="3">GetH2Initial(A4)</f>
        <v>1.0592596734573492</v>
      </c>
      <c r="M4" s="8">
        <f t="shared" si="1"/>
        <v>1.9909812070084383E-13</v>
      </c>
      <c r="N4" s="8">
        <f>B4^2* UnnormalizedLowerIncompleteGamma(2/2 + 1, (A4/B4)^(2)) + C4^2 *UnnormalizedUpperIncompleteGamma(2/3.6 + 1, (A4/C4)^(3.6)) - 1</f>
        <v>-8.659739592076221E-15</v>
      </c>
      <c r="O4" s="8">
        <f t="shared" si="2"/>
        <v>-8.659739592076221E-15</v>
      </c>
    </row>
    <row r="5" spans="1:15" x14ac:dyDescent="0.25">
      <c r="A5" s="9">
        <v>0.04</v>
      </c>
      <c r="B5" s="5">
        <v>14.595345361687301</v>
      </c>
      <c r="C5" s="5">
        <v>1.0604228903756501</v>
      </c>
      <c r="D5" s="5">
        <v>1.27951414380356</v>
      </c>
      <c r="E5" s="5">
        <v>1.4666317232288799</v>
      </c>
      <c r="F5" s="5">
        <v>1.64418347027971</v>
      </c>
      <c r="G5" s="5">
        <v>1.7069382029223501</v>
      </c>
      <c r="H5" s="5">
        <v>1.7814953890693299</v>
      </c>
      <c r="I5" s="5">
        <v>1.88067941725129</v>
      </c>
      <c r="J5" s="1"/>
      <c r="K5" s="10">
        <f>GetH1Initial(A5)</f>
        <v>14.671044952526827</v>
      </c>
      <c r="L5" s="10">
        <f t="shared" si="3"/>
        <v>1.0592596945496731</v>
      </c>
      <c r="M5" s="8">
        <f t="shared" si="1"/>
        <v>1.182796807545905E-17</v>
      </c>
      <c r="N5" s="8">
        <f>B5^2* UnnormalizedLowerIncompleteGamma(2/2 + 1, (A5/B5)^(2)) + C5^2 *UnnormalizedUpperIncompleteGamma(2/3.6 + 1, (A5/C5)^(3.6)) - 1</f>
        <v>-4.2188474935755949E-15</v>
      </c>
      <c r="O5" s="8">
        <f t="shared" si="2"/>
        <v>-4.2188474935755949E-15</v>
      </c>
    </row>
    <row r="6" spans="1:15" x14ac:dyDescent="0.25">
      <c r="A6" s="9">
        <v>0.05</v>
      </c>
      <c r="B6" s="5">
        <v>12.209176362088501</v>
      </c>
      <c r="C6" s="5">
        <v>1.06042289264121</v>
      </c>
      <c r="D6" s="5">
        <v>1.27951414653721</v>
      </c>
      <c r="E6" s="5">
        <v>1.4666317263623001</v>
      </c>
      <c r="F6" s="5">
        <v>1.6441834737924701</v>
      </c>
      <c r="G6" s="5">
        <v>1.70693820656918</v>
      </c>
      <c r="H6" s="5">
        <v>1.78149539287545</v>
      </c>
      <c r="I6" s="5">
        <v>1.8806794212693201</v>
      </c>
      <c r="J6" s="1"/>
      <c r="K6" s="10">
        <f t="shared" si="0"/>
        <v>12.273988060462084</v>
      </c>
      <c r="L6" s="10">
        <f>GetH2Initial(A6)</f>
        <v>1.0592597445513718</v>
      </c>
      <c r="M6" s="8">
        <f t="shared" si="1"/>
        <v>3.0594830054825328E-18</v>
      </c>
      <c r="N6" s="8">
        <f>B6^2* UnnormalizedLowerIncompleteGamma(2/2 + 1, (A6/B6)^(2)) + C6^2 *UnnormalizedUpperIncompleteGamma(2/3.6 + 1, (A6/C6)^(3.6)) - 1</f>
        <v>-1.5099033134902129E-14</v>
      </c>
      <c r="O6" s="8">
        <f t="shared" si="2"/>
        <v>-1.5099033134902129E-14</v>
      </c>
    </row>
    <row r="7" spans="1:15" x14ac:dyDescent="0.25">
      <c r="A7" s="9">
        <v>0.06</v>
      </c>
      <c r="B7" s="5">
        <v>10.552160164026199</v>
      </c>
      <c r="C7" s="5">
        <v>1.06042289828132</v>
      </c>
      <c r="D7" s="5">
        <v>1.2795141533426</v>
      </c>
      <c r="E7" s="5">
        <v>1.46663173416292</v>
      </c>
      <c r="F7" s="5">
        <v>1.64418348253743</v>
      </c>
      <c r="G7" s="5">
        <v>1.70693821564792</v>
      </c>
      <c r="H7" s="5">
        <v>1.7814954023507401</v>
      </c>
      <c r="I7" s="5">
        <v>1.88067943127214</v>
      </c>
      <c r="J7" s="1"/>
      <c r="K7" s="10">
        <f t="shared" si="0"/>
        <v>10.604744127612278</v>
      </c>
      <c r="L7" s="10">
        <f t="shared" si="3"/>
        <v>1.0592598444873591</v>
      </c>
      <c r="M7" s="8">
        <f t="shared" si="1"/>
        <v>8.2084539903062859E-15</v>
      </c>
      <c r="N7" s="8">
        <f>B7^2* UnnormalizedLowerIncompleteGamma(2/2 + 1, (A7/B7)^(2)) + C7^2 *UnnormalizedUpperIncompleteGamma(2/3.6 + 1, (A7/C7)^(3.6)) - 1</f>
        <v>-2.1094237467877974E-15</v>
      </c>
      <c r="O7" s="8">
        <f t="shared" si="2"/>
        <v>-2.1094237467877974E-15</v>
      </c>
    </row>
    <row r="8" spans="1:15" x14ac:dyDescent="0.25">
      <c r="A8" s="9">
        <v>7.0000000000000007E-2</v>
      </c>
      <c r="B8" s="5">
        <v>9.3279014916645409</v>
      </c>
      <c r="C8" s="5">
        <v>1.0604229103663201</v>
      </c>
      <c r="D8" s="5">
        <v>1.2795141679244499</v>
      </c>
      <c r="E8" s="5">
        <v>1.46663175087724</v>
      </c>
      <c r="F8" s="5">
        <v>1.6441835012752</v>
      </c>
      <c r="G8" s="5">
        <v>1.7069382351008699</v>
      </c>
      <c r="H8" s="5">
        <v>1.7814954226533699</v>
      </c>
      <c r="I8" s="5">
        <v>1.8806794527051101</v>
      </c>
      <c r="J8" s="1"/>
      <c r="K8" s="10">
        <f t="shared" si="0"/>
        <v>9.3684675691436112</v>
      </c>
      <c r="L8" s="10">
        <f t="shared" si="3"/>
        <v>1.0592600226089759</v>
      </c>
      <c r="M8" s="8">
        <f t="shared" si="1"/>
        <v>1.770579803649433E-13</v>
      </c>
      <c r="N8" s="8">
        <f>B8^2* UnnormalizedLowerIncompleteGamma(2/2 + 1, (A8/B8)^(2)) + C8^2 *UnnormalizedUpperIncompleteGamma(2/3.6 + 1, (A8/C8)^(3.6)) - 1</f>
        <v>-9.9920072216264089E-16</v>
      </c>
      <c r="O8" s="8">
        <f t="shared" si="2"/>
        <v>-9.9920072216264089E-16</v>
      </c>
    </row>
    <row r="9" spans="1:15" x14ac:dyDescent="0.25">
      <c r="A9" s="9">
        <v>0.08</v>
      </c>
      <c r="B9" s="5">
        <v>8.3828251754658005</v>
      </c>
      <c r="C9" s="5">
        <v>1.0604229336137101</v>
      </c>
      <c r="D9" s="5">
        <v>1.2795141959749301</v>
      </c>
      <c r="E9" s="5">
        <v>1.4666317830298501</v>
      </c>
      <c r="F9" s="5">
        <v>1.64418353732023</v>
      </c>
      <c r="G9" s="5">
        <v>1.70693827252166</v>
      </c>
      <c r="H9" s="5">
        <v>1.78149546170866</v>
      </c>
      <c r="I9" s="5">
        <v>1.8806794939347899</v>
      </c>
      <c r="J9" s="1"/>
      <c r="K9" s="10">
        <f t="shared" si="0"/>
        <v>8.4121315276826785</v>
      </c>
      <c r="L9" s="10">
        <f t="shared" si="3"/>
        <v>1.0592603150569657</v>
      </c>
      <c r="M9" s="8">
        <f t="shared" si="1"/>
        <v>9.4695650247004354E-13</v>
      </c>
      <c r="N9" s="8">
        <f>B9^2* UnnormalizedLowerIncompleteGamma(2/2 + 1, (A9/B9)^(2)) + C9^2 *UnnormalizedUpperIncompleteGamma(2/3.6 + 1, (A9/C9)^(3.6)) - 1</f>
        <v>-7.8825834748386114E-15</v>
      </c>
      <c r="O9" s="8">
        <f t="shared" si="2"/>
        <v>-7.8825834748386114E-15</v>
      </c>
    </row>
    <row r="10" spans="1:15" x14ac:dyDescent="0.25">
      <c r="A10" s="9">
        <v>0.09</v>
      </c>
      <c r="B10" s="5">
        <v>7.6290142078263301</v>
      </c>
      <c r="C10" s="5">
        <v>1.0604229748461</v>
      </c>
      <c r="D10" s="5">
        <v>1.2795142457262301</v>
      </c>
      <c r="E10" s="5">
        <v>1.4666318400568401</v>
      </c>
      <c r="F10" s="5">
        <v>1.6441836012509601</v>
      </c>
      <c r="G10" s="5">
        <v>1.7069383388924799</v>
      </c>
      <c r="H10" s="5">
        <v>1.7814955309784799</v>
      </c>
      <c r="I10" s="5">
        <v>1.88067956706118</v>
      </c>
      <c r="J10" s="1"/>
      <c r="K10" s="10">
        <f t="shared" si="0"/>
        <v>7.6479939353344948</v>
      </c>
      <c r="L10" s="10">
        <f t="shared" si="3"/>
        <v>1.0592607664670453</v>
      </c>
      <c r="M10" s="8">
        <f t="shared" si="1"/>
        <v>0</v>
      </c>
      <c r="N10" s="8">
        <f>B10^2* UnnormalizedLowerIncompleteGamma(2/2 + 1, (A10/B10)^(2)) + C10^2 *UnnormalizedUpperIncompleteGamma(2/3.6 + 1, (A10/C10)^(3.6)) - 1</f>
        <v>0</v>
      </c>
      <c r="O10" s="8">
        <f t="shared" si="2"/>
        <v>-5.5511151231257827E-16</v>
      </c>
    </row>
    <row r="11" spans="1:15" x14ac:dyDescent="0.25">
      <c r="A11" s="9">
        <v>0.1</v>
      </c>
      <c r="B11" s="5">
        <v>7.0123321970516397</v>
      </c>
      <c r="C11" s="5">
        <v>1.0604230434900399</v>
      </c>
      <c r="D11" s="5">
        <v>1.2795143285525299</v>
      </c>
      <c r="E11" s="5">
        <v>1.46663193499575</v>
      </c>
      <c r="F11" s="5">
        <v>1.6441837076832599</v>
      </c>
      <c r="G11" s="5">
        <v>1.7069384493870501</v>
      </c>
      <c r="H11" s="5">
        <v>1.7814956462993401</v>
      </c>
      <c r="I11" s="5">
        <v>1.8806796888024799</v>
      </c>
      <c r="J11" s="1"/>
      <c r="K11" s="10">
        <f t="shared" si="0"/>
        <v>7.0219436309069492</v>
      </c>
      <c r="L11" s="10">
        <f>GetH2Initial(A11)</f>
        <v>1.0592614305297983</v>
      </c>
      <c r="M11" s="8">
        <f t="shared" si="1"/>
        <v>-5.9360068943581368E-18</v>
      </c>
      <c r="N11" s="8">
        <f>B11^2* UnnormalizedLowerIncompleteGamma(2/2 + 1, (A11/B11)^(2)) + C11^2 *UnnormalizedUpperIncompleteGamma(2/3.6 + 1, (A11/C11)^(3.6)) - 1</f>
        <v>-1.7208456881689926E-14</v>
      </c>
      <c r="O11" s="8">
        <f t="shared" si="2"/>
        <v>-1.7208456881689926E-14</v>
      </c>
    </row>
    <row r="12" spans="1:15" x14ac:dyDescent="0.25">
      <c r="A12" s="9">
        <v>0.11</v>
      </c>
      <c r="B12" s="5">
        <v>6.4975318017525101</v>
      </c>
      <c r="C12" s="5">
        <v>1.0604231521135801</v>
      </c>
      <c r="D12" s="5">
        <v>1.2795144596185</v>
      </c>
      <c r="E12" s="5">
        <v>1.4666320852289501</v>
      </c>
      <c r="F12" s="5">
        <v>1.6441838761038301</v>
      </c>
      <c r="G12" s="5">
        <v>1.70693862423585</v>
      </c>
      <c r="H12" s="5">
        <v>1.78149582878535</v>
      </c>
      <c r="I12" s="5">
        <v>1.8806798814483201</v>
      </c>
      <c r="J12" s="1"/>
      <c r="K12" s="10">
        <f t="shared" si="0"/>
        <v>6.4986970493203549</v>
      </c>
      <c r="L12" s="10">
        <f t="shared" si="3"/>
        <v>1.0592623705127622</v>
      </c>
      <c r="M12" s="8">
        <f t="shared" si="1"/>
        <v>-7.7520455332713567E-18</v>
      </c>
      <c r="N12" s="8">
        <f>B12^2* UnnormalizedLowerIncompleteGamma(2/2 + 1, (A12/B12)^(2)) + C12^2 *UnnormalizedUpperIncompleteGamma(2/3.6 + 1, (A12/C12)^(3.6)) - 1</f>
        <v>-1.6542323066914832E-14</v>
      </c>
      <c r="O12" s="8">
        <f t="shared" si="2"/>
        <v>-1.6542323066914832E-14</v>
      </c>
    </row>
    <row r="13" spans="1:15" x14ac:dyDescent="0.25">
      <c r="A13" s="9">
        <v>0.12</v>
      </c>
      <c r="B13" s="5">
        <v>6.0606288193911197</v>
      </c>
      <c r="C13" s="5">
        <v>1.06042331700022</v>
      </c>
      <c r="D13" s="5">
        <v>1.2795146585719399</v>
      </c>
      <c r="E13" s="5">
        <v>1.4666323132775601</v>
      </c>
      <c r="F13" s="5">
        <v>1.6441841317602099</v>
      </c>
      <c r="G13" s="5">
        <v>1.7069388896500599</v>
      </c>
      <c r="H13" s="5">
        <v>1.78149610579255</v>
      </c>
      <c r="I13" s="5">
        <v>1.8806801738777801</v>
      </c>
      <c r="J13" s="1"/>
      <c r="K13" s="10">
        <f t="shared" si="0"/>
        <v>6.0542102466404994</v>
      </c>
      <c r="L13" s="10">
        <f t="shared" si="3"/>
        <v>1.0592636597502076</v>
      </c>
      <c r="M13" s="8">
        <f t="shared" si="1"/>
        <v>-3.4694469519536142E-18</v>
      </c>
      <c r="N13" s="8">
        <f>B13^2* UnnormalizedLowerIncompleteGamma(2/2 + 1, (A13/B13)^(2)) + C13^2 *UnnormalizedUpperIncompleteGamma(2/3.6 + 1, (A13/C13)^(3.6)) - 1</f>
        <v>-5.3290705182007514E-15</v>
      </c>
      <c r="O13" s="8">
        <f t="shared" si="2"/>
        <v>-5.3290705182007514E-15</v>
      </c>
    </row>
    <row r="14" spans="1:15" x14ac:dyDescent="0.25">
      <c r="A14" s="9">
        <v>0.13</v>
      </c>
      <c r="B14" s="5">
        <v>5.6847082379392697</v>
      </c>
      <c r="C14" s="5">
        <v>1.06042355875767</v>
      </c>
      <c r="D14" s="5">
        <v>1.2795149502782699</v>
      </c>
      <c r="E14" s="5">
        <v>1.46663264764336</v>
      </c>
      <c r="F14" s="5">
        <v>1.6441845066046299</v>
      </c>
      <c r="G14" s="5">
        <v>1.7069392788014299</v>
      </c>
      <c r="H14" s="5">
        <v>1.7814965119416299</v>
      </c>
      <c r="I14" s="5">
        <v>1.8806806026390499</v>
      </c>
      <c r="J14" s="1"/>
      <c r="K14" s="10">
        <f t="shared" si="0"/>
        <v>5.6715016218526451</v>
      </c>
      <c r="L14" s="10">
        <f t="shared" si="3"/>
        <v>1.0592653821045641</v>
      </c>
      <c r="M14" s="8">
        <f t="shared" si="1"/>
        <v>-1.4094628242311558E-18</v>
      </c>
      <c r="N14" s="8">
        <f>B14^2* UnnormalizedLowerIncompleteGamma(2/2 + 1, (A14/B14)^(2)) + C14^2 *UnnormalizedUpperIncompleteGamma(2/3.6 + 1, (A14/C14)^(3.6)) - 1</f>
        <v>-2.886579864025407E-15</v>
      </c>
      <c r="O14" s="8">
        <f t="shared" si="2"/>
        <v>-2.886579864025407E-15</v>
      </c>
    </row>
    <row r="15" spans="1:15" x14ac:dyDescent="0.25">
      <c r="A15" s="9">
        <v>0.14000000000000001</v>
      </c>
      <c r="B15" s="5">
        <v>5.3574815845606096</v>
      </c>
      <c r="C15" s="5">
        <v>1.0604239029596201</v>
      </c>
      <c r="D15" s="5">
        <v>1.2795153655949201</v>
      </c>
      <c r="E15" s="5">
        <v>1.4666331236963699</v>
      </c>
      <c r="F15" s="5">
        <v>1.6441850402890501</v>
      </c>
      <c r="G15" s="5">
        <v>1.70693983285536</v>
      </c>
      <c r="H15" s="5">
        <v>1.7814970901960301</v>
      </c>
      <c r="I15" s="5">
        <v>1.8806812130875199</v>
      </c>
      <c r="J15" s="1"/>
      <c r="K15" s="10">
        <f t="shared" si="0"/>
        <v>5.3382167215209186</v>
      </c>
      <c r="L15" s="10">
        <f t="shared" si="3"/>
        <v>1.0592676324023682</v>
      </c>
      <c r="M15" s="8">
        <f t="shared" si="1"/>
        <v>-2.1141942363467336E-17</v>
      </c>
      <c r="N15" s="8">
        <f>B15^2* UnnormalizedLowerIncompleteGamma(2/2 + 1, (A15/B15)^(2)) + C15^2 *UnnormalizedUpperIncompleteGamma(2/3.6 + 1, (A15/C15)^(3.6)) - 1</f>
        <v>-1.8318679906315083E-14</v>
      </c>
      <c r="O15" s="8">
        <f t="shared" si="2"/>
        <v>-1.8318679906315083E-14</v>
      </c>
    </row>
    <row r="16" spans="1:15" x14ac:dyDescent="0.25">
      <c r="A16" s="9">
        <v>0.15</v>
      </c>
      <c r="B16" s="5">
        <v>5.0697957205427802</v>
      </c>
      <c r="C16" s="5">
        <v>1.06042438081891</v>
      </c>
      <c r="D16" s="5">
        <v>1.2795159421834801</v>
      </c>
      <c r="E16" s="5">
        <v>1.4666337846059001</v>
      </c>
      <c r="F16" s="5">
        <v>1.64418578120887</v>
      </c>
      <c r="G16" s="5">
        <v>1.7069406020544</v>
      </c>
      <c r="H16" s="5">
        <v>1.78149789299284</v>
      </c>
      <c r="I16" s="5">
        <v>1.8806820605797201</v>
      </c>
      <c r="J16" s="1"/>
      <c r="K16" s="10">
        <f t="shared" si="0"/>
        <v>5.0451402309185536</v>
      </c>
      <c r="L16" s="10">
        <f t="shared" si="3"/>
        <v>1.0592705168468395</v>
      </c>
      <c r="M16" s="8">
        <f t="shared" si="1"/>
        <v>-1.5395670849294163E-17</v>
      </c>
      <c r="N16" s="8">
        <f>B16^2* UnnormalizedLowerIncompleteGamma(2/2 + 1, (A16/B16)^(2)) + C16^2 *UnnormalizedUpperIncompleteGamma(2/3.6 + 1, (A16/C16)^(3.6)) - 1</f>
        <v>-1.1435297153639112E-14</v>
      </c>
      <c r="O16" s="8">
        <f t="shared" si="2"/>
        <v>-1.1435297153639112E-14</v>
      </c>
    </row>
    <row r="17" spans="1:15" x14ac:dyDescent="0.25">
      <c r="A17" s="9">
        <v>0.16</v>
      </c>
      <c r="B17" s="5">
        <v>4.8146859017004902</v>
      </c>
      <c r="C17" s="5">
        <v>1.0604250298904201</v>
      </c>
      <c r="D17" s="5">
        <v>1.27951672535799</v>
      </c>
      <c r="E17" s="5">
        <v>1.4666346823127201</v>
      </c>
      <c r="F17" s="5">
        <v>1.6441867875928899</v>
      </c>
      <c r="G17" s="5">
        <v>1.7069416468498</v>
      </c>
      <c r="H17" s="5">
        <v>1.78149898342375</v>
      </c>
      <c r="I17" s="5">
        <v>1.8806832117199299</v>
      </c>
      <c r="J17" s="1"/>
      <c r="K17" s="10">
        <f t="shared" si="0"/>
        <v>4.7852502211273222</v>
      </c>
      <c r="L17" s="10">
        <f t="shared" si="3"/>
        <v>1.0592741534086072</v>
      </c>
      <c r="M17" s="8">
        <f t="shared" si="1"/>
        <v>-2.2985086056692694E-17</v>
      </c>
      <c r="N17" s="8">
        <f>B17^2* UnnormalizedLowerIncompleteGamma(2/2 + 1, (A17/B17)^(2)) + C17^2 *UnnormalizedUpperIncompleteGamma(2/3.6 + 1, (A17/C17)^(3.6)) - 1</f>
        <v>-1.2323475573339238E-14</v>
      </c>
      <c r="O17" s="8">
        <f t="shared" si="2"/>
        <v>-1.2323475573339238E-14</v>
      </c>
    </row>
    <row r="18" spans="1:15" x14ac:dyDescent="0.25">
      <c r="A18" s="9">
        <v>0.17</v>
      </c>
      <c r="B18" s="5">
        <v>4.5867539823546899</v>
      </c>
      <c r="C18" s="5">
        <v>1.0604258948023</v>
      </c>
      <c r="D18" s="5">
        <v>1.2795177689671</v>
      </c>
      <c r="E18" s="5">
        <v>1.4666358785403899</v>
      </c>
      <c r="F18" s="5">
        <v>1.64418812863695</v>
      </c>
      <c r="G18" s="5">
        <v>1.7069430390784599</v>
      </c>
      <c r="H18" s="5">
        <v>1.7815004364634299</v>
      </c>
      <c r="I18" s="5">
        <v>1.88068474565699</v>
      </c>
      <c r="J18" s="1"/>
      <c r="K18" s="10">
        <f t="shared" si="0"/>
        <v>4.5530965881968193</v>
      </c>
      <c r="L18" s="10">
        <f t="shared" si="3"/>
        <v>1.0592786721956666</v>
      </c>
      <c r="M18" s="8">
        <f t="shared" si="1"/>
        <v>-3.8814437774981059E-17</v>
      </c>
      <c r="N18" s="8">
        <f>B18^2* UnnormalizedLowerIncompleteGamma(2/2 + 1, (A18/B18)^(2)) + C18^2 *UnnormalizedUpperIncompleteGamma(2/3.6 + 1, (A18/C18)^(3.6)) - 1</f>
        <v>-1.7541523789077473E-14</v>
      </c>
      <c r="O18" s="8">
        <f t="shared" si="2"/>
        <v>-1.7541523789077473E-14</v>
      </c>
    </row>
    <row r="19" spans="1:15" x14ac:dyDescent="0.25">
      <c r="A19" s="9">
        <v>0.18</v>
      </c>
      <c r="B19" s="5">
        <v>4.3817481816213801</v>
      </c>
      <c r="C19" s="5">
        <v>1.06042702801374</v>
      </c>
      <c r="D19" s="5">
        <v>1.2795191363084399</v>
      </c>
      <c r="E19" s="5">
        <v>1.4666374458432601</v>
      </c>
      <c r="F19" s="5">
        <v>1.6441898856788999</v>
      </c>
      <c r="G19" s="5">
        <v>1.7069448631827</v>
      </c>
      <c r="H19" s="5">
        <v>1.7815023402425301</v>
      </c>
      <c r="I19" s="5">
        <v>1.8806867554282201</v>
      </c>
      <c r="J19" s="1"/>
      <c r="K19" s="10">
        <f t="shared" si="0"/>
        <v>4.3443806158793032</v>
      </c>
      <c r="L19" s="10">
        <f t="shared" si="3"/>
        <v>1.0592842158032902</v>
      </c>
      <c r="M19" s="8">
        <f t="shared" si="1"/>
        <v>-5.2041704279304213E-18</v>
      </c>
      <c r="N19" s="8">
        <f>B19^2* UnnormalizedLowerIncompleteGamma(2/2 + 1, (A19/B19)^(2)) + C19^2 *UnnormalizedUpperIncompleteGamma(2/3.6 + 1, (A19/C19)^(3.6)) - 1</f>
        <v>-3.4416913763379853E-15</v>
      </c>
      <c r="O19" s="8">
        <f t="shared" si="2"/>
        <v>-3.4416913763379853E-15</v>
      </c>
    </row>
    <row r="20" spans="1:15" x14ac:dyDescent="0.25">
      <c r="A20" s="9">
        <v>0.19</v>
      </c>
      <c r="B20" s="5">
        <v>4.1962718588176697</v>
      </c>
      <c r="C20" s="5">
        <v>1.06042849059764</v>
      </c>
      <c r="D20" s="5">
        <v>1.2795209010730499</v>
      </c>
      <c r="E20" s="5">
        <v>1.4666394686890201</v>
      </c>
      <c r="F20" s="5">
        <v>1.6441921534121799</v>
      </c>
      <c r="G20" s="5">
        <v>1.7069472174701801</v>
      </c>
      <c r="H20" s="5">
        <v>1.7815047973627101</v>
      </c>
      <c r="I20" s="5">
        <v>1.88068934934756</v>
      </c>
      <c r="J20" s="1"/>
      <c r="K20" s="10">
        <f t="shared" si="0"/>
        <v>4.1556633623939154</v>
      </c>
      <c r="L20" s="10">
        <f t="shared" si="3"/>
        <v>1.0592909396443344</v>
      </c>
      <c r="M20" s="8">
        <f t="shared" si="1"/>
        <v>6.8450757215177127E-13</v>
      </c>
      <c r="N20" s="8">
        <f>B20^2* UnnormalizedLowerIncompleteGamma(2/2 + 1, (A20/B20)^(2)) + C20^2 *UnnormalizedUpperIncompleteGamma(2/3.6 + 1, (A20/C20)^(3.6)) - 1</f>
        <v>5.5511151231257827E-15</v>
      </c>
      <c r="O20" s="8">
        <f t="shared" si="2"/>
        <v>5.5511151231257827E-15</v>
      </c>
    </row>
    <row r="21" spans="1:15" x14ac:dyDescent="0.25">
      <c r="A21" s="9">
        <v>0.2</v>
      </c>
      <c r="B21" s="5">
        <v>4.0275772011450304</v>
      </c>
      <c r="C21" s="5">
        <v>1.06043035304656</v>
      </c>
      <c r="D21" s="5">
        <v>1.27952314831777</v>
      </c>
      <c r="E21" s="5">
        <v>1.4666420445733199</v>
      </c>
      <c r="F21" s="5">
        <v>1.6441950411353301</v>
      </c>
      <c r="G21" s="5">
        <v>1.70695021541114</v>
      </c>
      <c r="H21" s="5">
        <v>1.7815079262504401</v>
      </c>
      <c r="I21" s="5">
        <v>1.88069265243484</v>
      </c>
      <c r="J21" s="1"/>
      <c r="K21" s="10">
        <f t="shared" si="0"/>
        <v>3.9841588948551538</v>
      </c>
      <c r="L21" s="10">
        <f t="shared" si="3"/>
        <v>1.059299012260146</v>
      </c>
      <c r="M21" s="8">
        <f t="shared" si="1"/>
        <v>3.3122940154561853E-13</v>
      </c>
      <c r="N21" s="8">
        <f>B21^2* UnnormalizedLowerIncompleteGamma(2/2 + 1, (A21/B21)^(2)) + C21^2 *UnnormalizedUpperIncompleteGamma(2/3.6 + 1, (A21/C21)^(3.6)) - 1</f>
        <v>-9.5479180117763462E-15</v>
      </c>
      <c r="O21" s="8">
        <f t="shared" si="2"/>
        <v>-9.5479180117763462E-15</v>
      </c>
    </row>
    <row r="22" spans="1:15" x14ac:dyDescent="0.25">
      <c r="A22" s="9">
        <v>0.21</v>
      </c>
      <c r="B22" s="5">
        <v>3.8734161750985998</v>
      </c>
      <c r="C22" s="5">
        <v>1.06043269609992</v>
      </c>
      <c r="D22" s="5">
        <v>1.2795259754633701</v>
      </c>
      <c r="E22" s="5">
        <v>1.4666452851638501</v>
      </c>
      <c r="F22" s="5">
        <v>1.6441986740346499</v>
      </c>
      <c r="G22" s="5">
        <v>1.7069539869699399</v>
      </c>
      <c r="H22" s="5">
        <v>1.7815118625467801</v>
      </c>
      <c r="I22" s="5">
        <v>1.8806968078828701</v>
      </c>
      <c r="J22" s="1"/>
      <c r="K22" s="10">
        <f t="shared" si="0"/>
        <v>3.8275847964895915</v>
      </c>
      <c r="L22" s="10">
        <f t="shared" si="3"/>
        <v>1.059308615612079</v>
      </c>
      <c r="M22" s="8">
        <f t="shared" si="1"/>
        <v>1.4362469547002377E-13</v>
      </c>
      <c r="N22" s="8">
        <f>B22^2* UnnormalizedLowerIncompleteGamma(2/2 + 1, (A22/B22)^(2)) + C22^2 *UnnormalizedUpperIncompleteGamma(2/3.6 + 1, (A22/C22)^(3.6)) - 1</f>
        <v>0</v>
      </c>
      <c r="O22" s="8">
        <f t="shared" si="2"/>
        <v>-1.1102230246251565E-16</v>
      </c>
    </row>
    <row r="23" spans="1:15" x14ac:dyDescent="0.25">
      <c r="A23" s="9">
        <v>0.22</v>
      </c>
      <c r="B23" s="5">
        <v>3.7319309719829699</v>
      </c>
      <c r="C23" s="5">
        <v>1.06043561159051</v>
      </c>
      <c r="D23" s="5">
        <v>1.279529493316</v>
      </c>
      <c r="E23" s="5">
        <v>1.4666493174711901</v>
      </c>
      <c r="F23" s="5">
        <v>1.6442031944967099</v>
      </c>
      <c r="G23" s="5">
        <v>1.7069586799677201</v>
      </c>
      <c r="H23" s="5">
        <v>1.7815167605295601</v>
      </c>
      <c r="I23" s="5">
        <v>1.8807019785588399</v>
      </c>
      <c r="J23" s="1"/>
      <c r="K23" s="10">
        <f t="shared" si="0"/>
        <v>3.6840521854857582</v>
      </c>
      <c r="L23" s="10">
        <f t="shared" si="3"/>
        <v>1.0593199453534616</v>
      </c>
      <c r="M23" s="8">
        <f t="shared" si="1"/>
        <v>5.4769123264408748E-14</v>
      </c>
      <c r="N23" s="8">
        <f>B23^2* UnnormalizedLowerIncompleteGamma(2/2 + 1, (A23/B23)^(2)) + C23^2 *UnnormalizedUpperIncompleteGamma(2/3.6 + 1, (A23/C23)^(3.6)) - 1</f>
        <v>-1.1990408665951691E-14</v>
      </c>
      <c r="O23" s="8">
        <f t="shared" si="2"/>
        <v>-1.1990408665951691E-14</v>
      </c>
    </row>
    <row r="24" spans="1:15" x14ac:dyDescent="0.25">
      <c r="A24" s="9">
        <v>0.23</v>
      </c>
      <c r="B24" s="5">
        <v>3.6015722028404</v>
      </c>
      <c r="C24" s="5">
        <v>1.0604392033083401</v>
      </c>
      <c r="D24" s="5">
        <v>1.2795338271094301</v>
      </c>
      <c r="E24" s="5">
        <v>1.4666542850434201</v>
      </c>
      <c r="F24" s="5">
        <v>1.6442087634476701</v>
      </c>
      <c r="G24" s="5">
        <v>1.7069644614728401</v>
      </c>
      <c r="H24" s="5">
        <v>1.78152279456447</v>
      </c>
      <c r="I24" s="5">
        <v>1.88070834853618</v>
      </c>
      <c r="J24" s="1"/>
      <c r="K24" s="10">
        <f t="shared" si="0"/>
        <v>3.5519835287698962</v>
      </c>
      <c r="L24" s="10">
        <f t="shared" si="3"/>
        <v>1.0593332110817162</v>
      </c>
      <c r="M24" s="8">
        <f t="shared" si="1"/>
        <v>1.795612269983593E-14</v>
      </c>
      <c r="N24" s="8">
        <f>B24^2* UnnormalizedLowerIncompleteGamma(2/2 + 1, (A24/B24)^(2)) + C24^2 *UnnormalizedUpperIncompleteGamma(2/3.6 + 1, (A24/C24)^(3.6)) - 1</f>
        <v>-1.8873791418627661E-15</v>
      </c>
      <c r="O24" s="8">
        <f t="shared" si="2"/>
        <v>-1.8873791418627661E-15</v>
      </c>
    </row>
    <row r="25" spans="1:15" x14ac:dyDescent="0.25">
      <c r="A25" s="9">
        <v>0.24</v>
      </c>
      <c r="B25" s="5">
        <v>3.48103695161518</v>
      </c>
      <c r="C25" s="5">
        <v>1.06044358787922</v>
      </c>
      <c r="D25" s="5">
        <v>1.27953911756526</v>
      </c>
      <c r="E25" s="5">
        <v>1.4666603491814201</v>
      </c>
      <c r="F25" s="5">
        <v>1.64421556171564</v>
      </c>
      <c r="G25" s="5">
        <v>1.70697151921519</v>
      </c>
      <c r="H25" s="5">
        <v>1.7815301605812499</v>
      </c>
      <c r="I25" s="5">
        <v>1.88071612465294</v>
      </c>
      <c r="J25" s="1"/>
      <c r="K25" s="10">
        <f t="shared" si="0"/>
        <v>3.4300503542114869</v>
      </c>
      <c r="L25" s="10">
        <f t="shared" si="3"/>
        <v>1.0593486365702054</v>
      </c>
      <c r="M25" s="8">
        <f t="shared" si="1"/>
        <v>4.8086534754077093E-15</v>
      </c>
      <c r="N25" s="8">
        <f>B25^2* UnnormalizedLowerIncompleteGamma(2/2 + 1, (A25/B25)^(2)) + C25^2 *UnnormalizedUpperIncompleteGamma(2/3.6 + 1, (A25/C25)^(3.6)) - 1</f>
        <v>-5.8841820305133297E-15</v>
      </c>
      <c r="O25" s="8">
        <f t="shared" si="2"/>
        <v>-5.8841820305133297E-15</v>
      </c>
    </row>
    <row r="26" spans="1:15" x14ac:dyDescent="0.25">
      <c r="A26" s="9">
        <v>0.25</v>
      </c>
      <c r="B26" s="5">
        <v>3.3692212608675201</v>
      </c>
      <c r="C26" s="5">
        <v>1.0604488956559099</v>
      </c>
      <c r="D26" s="5">
        <v>1.27954552196807</v>
      </c>
      <c r="E26" s="5">
        <v>1.4666676901712701</v>
      </c>
      <c r="F26" s="5">
        <v>1.6442237914122799</v>
      </c>
      <c r="G26" s="5">
        <v>1.70698006302058</v>
      </c>
      <c r="H26" s="5">
        <v>1.7815390775706801</v>
      </c>
      <c r="I26" s="5">
        <v>1.88072553809211</v>
      </c>
      <c r="J26" s="1"/>
      <c r="K26" s="10">
        <f t="shared" si="0"/>
        <v>3.3171254357769158</v>
      </c>
      <c r="L26" s="10">
        <f t="shared" si="3"/>
        <v>1.0593664599792783</v>
      </c>
      <c r="M26" s="8">
        <f t="shared" si="1"/>
        <v>9.8619029609281483E-16</v>
      </c>
      <c r="N26" s="8">
        <f>B26^2* UnnormalizedLowerIncompleteGamma(2/2 + 1, (A26/B26)^(2)) + C26^2 *UnnormalizedUpperIncompleteGamma(2/3.6 + 1, (A26/C26)^(3.6)) - 1</f>
        <v>-4.9960036108132044E-15</v>
      </c>
      <c r="O26" s="8">
        <f t="shared" si="2"/>
        <v>-4.9960036108132044E-15</v>
      </c>
    </row>
    <row r="27" spans="1:15" x14ac:dyDescent="0.25">
      <c r="A27" s="9">
        <v>0.26</v>
      </c>
      <c r="B27" s="5">
        <v>3.2651832599290298</v>
      </c>
      <c r="C27" s="5">
        <v>1.06045527161886</v>
      </c>
      <c r="D27" s="5">
        <v>1.2795532152523801</v>
      </c>
      <c r="E27" s="5">
        <v>1.4666765085300699</v>
      </c>
      <c r="F27" s="5">
        <v>1.6442336773294799</v>
      </c>
      <c r="G27" s="5">
        <v>1.70699032626069</v>
      </c>
      <c r="H27" s="5">
        <v>1.78154978909785</v>
      </c>
      <c r="I27" s="5">
        <v>1.88073684597918</v>
      </c>
      <c r="J27" s="1"/>
      <c r="K27" s="10">
        <f t="shared" si="0"/>
        <v>3.212245658226708</v>
      </c>
      <c r="L27" s="10">
        <f t="shared" si="3"/>
        <v>1.0593869340458879</v>
      </c>
      <c r="M27" s="8">
        <f t="shared" si="1"/>
        <v>4.5970172113385388E-17</v>
      </c>
      <c r="N27" s="8">
        <f>B27^2* UnnormalizedLowerIncompleteGamma(2/2 + 1, (A27/B27)^(2)) + C27^2 *UnnormalizedUpperIncompleteGamma(2/3.6 + 1, (A27/C27)^(3.6)) - 1</f>
        <v>-1.1324274851176597E-14</v>
      </c>
      <c r="O27" s="8">
        <f t="shared" si="2"/>
        <v>-1.1324274851176597E-14</v>
      </c>
    </row>
    <row r="28" spans="1:15" x14ac:dyDescent="0.25">
      <c r="A28" s="9">
        <v>0.27</v>
      </c>
      <c r="B28" s="5">
        <v>3.16811424464409</v>
      </c>
      <c r="C28" s="5">
        <v>1.06046287628379</v>
      </c>
      <c r="D28" s="5">
        <v>1.2795623910976299</v>
      </c>
      <c r="E28" s="5">
        <v>1.46668702626119</v>
      </c>
      <c r="F28" s="5">
        <v>1.64424546834654</v>
      </c>
      <c r="G28" s="5">
        <v>1.7070025673139699</v>
      </c>
      <c r="H28" s="5">
        <v>1.78156256482689</v>
      </c>
      <c r="I28" s="5">
        <v>1.8807503329917199</v>
      </c>
      <c r="J28" s="1"/>
      <c r="K28" s="10">
        <f t="shared" si="0"/>
        <v>3.1145828665581377</v>
      </c>
      <c r="L28" s="10">
        <f t="shared" si="3"/>
        <v>1.0594103262510854</v>
      </c>
      <c r="M28" s="8">
        <f t="shared" si="1"/>
        <v>-1.9342166757141399E-16</v>
      </c>
      <c r="N28" s="8">
        <f>B28^2* UnnormalizedLowerIncompleteGamma(2/2 + 1, (A28/B28)^(2)) + C28^2 *UnnormalizedUpperIncompleteGamma(2/3.6 + 1, (A28/C28)^(3.6)) - 1</f>
        <v>-1.8540724511240114E-14</v>
      </c>
      <c r="O28" s="8">
        <f t="shared" si="2"/>
        <v>-1.8540724511240114E-14</v>
      </c>
    </row>
    <row r="29" spans="1:15" x14ac:dyDescent="0.25">
      <c r="A29" s="9">
        <v>0.28000000000000003</v>
      </c>
      <c r="B29" s="5">
        <v>3.0773157702878899</v>
      </c>
      <c r="C29" s="5">
        <v>1.06047188661282</v>
      </c>
      <c r="D29" s="5">
        <v>1.27957326302762</v>
      </c>
      <c r="E29" s="5">
        <v>1.46669948811439</v>
      </c>
      <c r="F29" s="5">
        <v>1.64425943884282</v>
      </c>
      <c r="G29" s="5">
        <v>1.7070170710322301</v>
      </c>
      <c r="H29" s="5">
        <v>1.7815777020516299</v>
      </c>
      <c r="I29" s="5">
        <v>1.8807663129752701</v>
      </c>
      <c r="J29" s="1"/>
      <c r="K29" s="10">
        <f t="shared" si="0"/>
        <v>3.0234207577993817</v>
      </c>
      <c r="L29" s="10">
        <f t="shared" si="3"/>
        <v>1.059436918964608</v>
      </c>
      <c r="M29" s="8">
        <f t="shared" si="1"/>
        <v>-1.3010426069826053E-16</v>
      </c>
      <c r="N29" s="8">
        <f>B29^2* UnnormalizedLowerIncompleteGamma(2/2 + 1, (A29/B29)^(2)) + C29^2 *UnnormalizedUpperIncompleteGamma(2/3.6 + 1, (A29/C29)^(3.6)) - 1</f>
        <v>-1.1990408665951691E-14</v>
      </c>
      <c r="O29" s="8">
        <f t="shared" si="2"/>
        <v>-1.2101430968414206E-14</v>
      </c>
    </row>
    <row r="30" spans="1:15" x14ac:dyDescent="0.25">
      <c r="A30" s="9">
        <v>0.28999999999999998</v>
      </c>
      <c r="B30" s="5">
        <v>2.99218134252569</v>
      </c>
      <c r="C30" s="5">
        <v>1.0604824969257101</v>
      </c>
      <c r="D30" s="5">
        <v>1.2795860655100399</v>
      </c>
      <c r="E30" s="5">
        <v>1.46671416284616</v>
      </c>
      <c r="F30" s="5">
        <v>1.64427589011072</v>
      </c>
      <c r="G30" s="5">
        <v>1.7070341502074999</v>
      </c>
      <c r="H30" s="5">
        <v>1.78159552722653</v>
      </c>
      <c r="I30" s="5">
        <v>1.8807851305595</v>
      </c>
      <c r="J30" s="1"/>
      <c r="K30" s="10">
        <f t="shared" si="0"/>
        <v>2.9381363962817191</v>
      </c>
      <c r="L30" s="10">
        <f t="shared" si="3"/>
        <v>1.0594670095657377</v>
      </c>
      <c r="M30" s="8">
        <f t="shared" si="1"/>
        <v>-1.1102230246251565E-16</v>
      </c>
      <c r="N30" s="8">
        <f>B30^2* UnnormalizedLowerIncompleteGamma(2/2 + 1, (A30/B30)^(2)) + C30^2 *UnnormalizedUpperIncompleteGamma(2/3.6 + 1, (A30/C30)^(3.6)) - 1</f>
        <v>-7.3274719625260332E-15</v>
      </c>
      <c r="O30" s="8">
        <f t="shared" si="2"/>
        <v>-7.3274719625260332E-15</v>
      </c>
    </row>
    <row r="31" spans="1:15" x14ac:dyDescent="0.25">
      <c r="A31" s="9">
        <v>0.3</v>
      </c>
      <c r="B31" s="5">
        <v>2.9121816605088102</v>
      </c>
      <c r="C31" s="5">
        <v>1.06049491980752</v>
      </c>
      <c r="D31" s="5">
        <v>1.2796010550515999</v>
      </c>
      <c r="E31" s="5">
        <v>1.4667313444750401</v>
      </c>
      <c r="F31" s="5">
        <v>1.64429515176295</v>
      </c>
      <c r="G31" s="5">
        <v>1.70705414703306</v>
      </c>
      <c r="H31" s="5">
        <v>1.78161639749147</v>
      </c>
      <c r="I31" s="5">
        <v>1.8808071627679099</v>
      </c>
      <c r="J31" s="1"/>
      <c r="K31" s="10">
        <f t="shared" si="0"/>
        <v>2.8581853031163891</v>
      </c>
      <c r="L31" s="10">
        <f t="shared" si="3"/>
        <v>1.0595009105395439</v>
      </c>
      <c r="M31" s="8">
        <f t="shared" si="1"/>
        <v>2.0499227315617929E-14</v>
      </c>
      <c r="N31" s="8">
        <f>B31^2* UnnormalizedLowerIncompleteGamma(2/2 + 1, (A31/B31)^(2)) + C31^2 *UnnormalizedUpperIncompleteGamma(2/3.6 + 1, (A31/C31)^(3.6)) - 1</f>
        <v>-1.3988810110276972E-14</v>
      </c>
      <c r="O31" s="8">
        <f t="shared" si="2"/>
        <v>-1.3988810110276972E-14</v>
      </c>
    </row>
    <row r="32" spans="1:15" x14ac:dyDescent="0.25">
      <c r="A32" s="9">
        <v>0.31</v>
      </c>
      <c r="B32" s="5">
        <v>2.8368526302842798</v>
      </c>
      <c r="C32" s="5">
        <v>1.0605093870086</v>
      </c>
      <c r="D32" s="5">
        <v>1.27961851128398</v>
      </c>
      <c r="E32" s="5">
        <v>1.4667513535263701</v>
      </c>
      <c r="F32" s="5">
        <v>1.64431758312792</v>
      </c>
      <c r="G32" s="5">
        <v>1.7070774345520601</v>
      </c>
      <c r="H32" s="5">
        <v>1.7816407021837199</v>
      </c>
      <c r="I32" s="5">
        <v>1.8808328206139799</v>
      </c>
      <c r="J32" s="1"/>
      <c r="K32" s="10">
        <f t="shared" si="0"/>
        <v>2.7830893350601675</v>
      </c>
      <c r="L32" s="10">
        <f t="shared" si="3"/>
        <v>1.0595389495475869</v>
      </c>
      <c r="M32" s="8">
        <f t="shared" si="1"/>
        <v>-1.0755285551056204E-16</v>
      </c>
      <c r="N32" s="8">
        <f>B32^2* UnnormalizedLowerIncompleteGamma(2/2 + 1, (A32/B32)^(2)) + C32^2 *UnnormalizedUpperIncompleteGamma(2/3.6 + 1, (A32/C32)^(3.6)) - 1</f>
        <v>-7.7715611723760958E-15</v>
      </c>
      <c r="O32" s="8">
        <f t="shared" si="2"/>
        <v>-7.7715611723760958E-15</v>
      </c>
    </row>
    <row r="33" spans="1:15" x14ac:dyDescent="0.25">
      <c r="A33" s="9">
        <v>0.32</v>
      </c>
      <c r="B33" s="5">
        <v>2.7657855578162698</v>
      </c>
      <c r="C33" s="5">
        <v>1.0605261503324801</v>
      </c>
      <c r="D33" s="5">
        <v>1.2796387380352201</v>
      </c>
      <c r="E33" s="5">
        <v>1.4667745382603301</v>
      </c>
      <c r="F33" s="5">
        <v>1.6443435746264901</v>
      </c>
      <c r="G33" s="5">
        <v>1.70710441808684</v>
      </c>
      <c r="H33" s="5">
        <v>1.7816688643296701</v>
      </c>
      <c r="I33" s="5">
        <v>1.8808625506759</v>
      </c>
      <c r="J33" s="1"/>
      <c r="K33" s="10">
        <f t="shared" si="0"/>
        <v>2.7124267595421281</v>
      </c>
      <c r="L33" s="10">
        <f t="shared" si="3"/>
        <v>1.0595814694721315</v>
      </c>
      <c r="M33" s="8">
        <f t="shared" si="1"/>
        <v>-3.1051550219984847E-16</v>
      </c>
      <c r="N33" s="8">
        <f>B33^2* UnnormalizedLowerIncompleteGamma(2/2 + 1, (A33/B33)^(2)) + C33^2 *UnnormalizedUpperIncompleteGamma(2/3.6 + 1, (A33/C33)^(3.6)) - 1</f>
        <v>-1.5654144647214707E-14</v>
      </c>
      <c r="O33" s="8">
        <f t="shared" si="2"/>
        <v>-1.5654144647214707E-14</v>
      </c>
    </row>
    <row r="34" spans="1:15" x14ac:dyDescent="0.25">
      <c r="A34" s="9">
        <v>0.33</v>
      </c>
      <c r="B34" s="5">
        <v>2.69861907112745</v>
      </c>
      <c r="C34" s="5">
        <v>1.0605454825071401</v>
      </c>
      <c r="D34" s="5">
        <v>1.27966206438089</v>
      </c>
      <c r="E34" s="5">
        <v>1.46680127587688</v>
      </c>
      <c r="F34" s="5">
        <v>1.64437354912279</v>
      </c>
      <c r="G34" s="5">
        <v>1.7071355366412999</v>
      </c>
      <c r="H34" s="5">
        <v>1.78170134210841</v>
      </c>
      <c r="I34" s="5">
        <v>1.88089683664171</v>
      </c>
      <c r="J34" s="1"/>
      <c r="K34" s="10">
        <f t="shared" si="0"/>
        <v>2.6458240730296465</v>
      </c>
      <c r="L34" s="10">
        <f t="shared" si="3"/>
        <v>1.0596288284328874</v>
      </c>
      <c r="M34" s="8">
        <f t="shared" si="1"/>
        <v>4.163336342344337E-17</v>
      </c>
      <c r="N34" s="8">
        <f>B34^2* UnnormalizedLowerIncompleteGamma(2/2 + 1, (A34/B34)^(2)) + C34^2 *UnnormalizedUpperIncompleteGamma(2/3.6 + 1, (A34/C34)^(3.6)) - 1</f>
        <v>-1.7763568394002505E-15</v>
      </c>
      <c r="O34" s="8">
        <f t="shared" si="2"/>
        <v>-1.7763568394002505E-15</v>
      </c>
    </row>
    <row r="35" spans="1:15" x14ac:dyDescent="0.25">
      <c r="A35" s="9">
        <v>0.33999999999999903</v>
      </c>
      <c r="B35" s="5">
        <v>2.6350324245579602</v>
      </c>
      <c r="C35" s="5">
        <v>1.06056767803436</v>
      </c>
      <c r="D35" s="5">
        <v>1.27968884566907</v>
      </c>
      <c r="E35" s="5">
        <v>1.4668319736905899</v>
      </c>
      <c r="F35" s="5">
        <v>1.64440796324127</v>
      </c>
      <c r="G35" s="5">
        <v>1.70717126426818</v>
      </c>
      <c r="H35" s="5">
        <v>1.7817386302787901</v>
      </c>
      <c r="I35" s="5">
        <v>1.88093620081575</v>
      </c>
      <c r="J35" s="1"/>
      <c r="K35" s="10">
        <f t="shared" si="0"/>
        <v>2.5829492139166139</v>
      </c>
      <c r="L35" s="10">
        <f t="shared" si="3"/>
        <v>1.059681399775285</v>
      </c>
      <c r="M35" s="8">
        <f t="shared" si="1"/>
        <v>-1.700029006457271E-16</v>
      </c>
      <c r="N35" s="8">
        <f>B35^2* UnnormalizedLowerIncompleteGamma(2/2 + 1, (A35/B35)^(2)) + C35^2 *UnnormalizedUpperIncompleteGamma(2/3.6 + 1, (A35/C35)^(3.6)) - 1</f>
        <v>-1.5876189252139739E-14</v>
      </c>
      <c r="O35" s="8">
        <f t="shared" si="2"/>
        <v>-1.5876189252139739E-14</v>
      </c>
    </row>
    <row r="36" spans="1:15" x14ac:dyDescent="0.25">
      <c r="A36" s="9">
        <v>0.34999999999999898</v>
      </c>
      <c r="B36" s="5">
        <v>2.5747399158388999</v>
      </c>
      <c r="C36" s="5">
        <v>1.06059305401208</v>
      </c>
      <c r="D36" s="5">
        <v>1.2797194645124499</v>
      </c>
      <c r="E36" s="5">
        <v>1.4668670702678801</v>
      </c>
      <c r="F36" s="5">
        <v>1.6444473086415601</v>
      </c>
      <c r="G36" s="5">
        <v>1.7072121113926499</v>
      </c>
      <c r="H36" s="5">
        <v>1.78178126156081</v>
      </c>
      <c r="I36" s="5">
        <v>1.8809812055769799</v>
      </c>
      <c r="J36" s="1"/>
      <c r="K36" s="10">
        <f t="shared" si="0"/>
        <v>2.523505898932231</v>
      </c>
      <c r="L36" s="10">
        <f t="shared" si="3"/>
        <v>1.0597395720292866</v>
      </c>
      <c r="M36" s="8">
        <f t="shared" si="1"/>
        <v>5.4470317145671743E-16</v>
      </c>
      <c r="N36" s="8">
        <f>B36^2* UnnormalizedLowerIncompleteGamma(2/2 + 1, (A36/B36)^(2)) + C36^2 *UnnormalizedUpperIncompleteGamma(2/3.6 + 1, (A36/C36)^(3.6)) - 1</f>
        <v>-1.1324274851176597E-14</v>
      </c>
      <c r="O36" s="8">
        <f t="shared" si="2"/>
        <v>-1.1324274851176597E-14</v>
      </c>
    </row>
    <row r="37" spans="1:15" x14ac:dyDescent="0.25">
      <c r="A37" s="9">
        <v>0.35999999999999899</v>
      </c>
      <c r="B37" s="5">
        <v>2.51748620512774</v>
      </c>
      <c r="C37" s="5">
        <v>1.0606219509236601</v>
      </c>
      <c r="D37" s="5">
        <v>1.27975433174082</v>
      </c>
      <c r="E37" s="5">
        <v>1.46690703651872</v>
      </c>
      <c r="F37" s="5">
        <v>1.6444921132424399</v>
      </c>
      <c r="G37" s="5">
        <v>1.7072586260829501</v>
      </c>
      <c r="H37" s="5">
        <v>1.7818298079617001</v>
      </c>
      <c r="I37" s="5">
        <v>1.8810324547789099</v>
      </c>
      <c r="J37" s="1"/>
      <c r="K37" s="10">
        <f t="shared" si="0"/>
        <v>2.4672288708365313</v>
      </c>
      <c r="L37" s="10">
        <f t="shared" si="3"/>
        <v>1.0598037488377314</v>
      </c>
      <c r="M37" s="8">
        <f t="shared" si="1"/>
        <v>2.1892210266827306E-15</v>
      </c>
      <c r="N37" s="8">
        <f>B37^2* UnnormalizedLowerIncompleteGamma(2/2 + 1, (A37/B37)^(2)) + C37^2 *UnnormalizedUpperIncompleteGamma(2/3.6 + 1, (A37/C37)^(3.6)) - 1</f>
        <v>-1.787459069646502E-14</v>
      </c>
      <c r="O37" s="8">
        <f t="shared" si="2"/>
        <v>-1.787459069646502E-14</v>
      </c>
    </row>
    <row r="38" spans="1:15" x14ac:dyDescent="0.25">
      <c r="A38" s="9">
        <v>0.369999999999999</v>
      </c>
      <c r="B38" s="5">
        <v>2.46304236974543</v>
      </c>
      <c r="C38" s="5">
        <v>1.0606547333882901</v>
      </c>
      <c r="D38" s="5">
        <v>1.2797938873063699</v>
      </c>
      <c r="E38" s="5">
        <v>1.4669523767344099</v>
      </c>
      <c r="F38" s="5">
        <v>1.6445429423851701</v>
      </c>
      <c r="G38" s="5">
        <v>1.70731139525811</v>
      </c>
      <c r="H38" s="5">
        <v>1.7818848820364801</v>
      </c>
      <c r="I38" s="5">
        <v>1.8810905950803101</v>
      </c>
      <c r="J38" s="1"/>
      <c r="K38" s="10">
        <f t="shared" si="0"/>
        <v>2.4138798899417089</v>
      </c>
      <c r="L38" s="10">
        <f t="shared" si="3"/>
        <v>1.059874348853229</v>
      </c>
      <c r="M38" s="8">
        <f t="shared" si="1"/>
        <v>7.5668638022108325E-15</v>
      </c>
      <c r="N38" s="8">
        <f>B38^2* UnnormalizedLowerIncompleteGamma(2/2 + 1, (A38/B38)^(2)) + C38^2 *UnnormalizedUpperIncompleteGamma(2/3.6 + 1, (A38/C38)^(3.6)) - 1</f>
        <v>-3.4416913763379853E-15</v>
      </c>
      <c r="O38" s="8">
        <f t="shared" si="2"/>
        <v>-3.4416913763379853E-15</v>
      </c>
    </row>
    <row r="39" spans="1:15" x14ac:dyDescent="0.25">
      <c r="A39" s="9">
        <v>0.37999999999999901</v>
      </c>
      <c r="B39" s="5">
        <v>2.41120256257196</v>
      </c>
      <c r="C39" s="5">
        <v>1.06069179086579</v>
      </c>
      <c r="D39" s="5">
        <v>1.27983860113425</v>
      </c>
      <c r="E39" s="5">
        <v>1.46700362956249</v>
      </c>
      <c r="F39" s="5">
        <v>1.64460039992642</v>
      </c>
      <c r="G39" s="5">
        <v>1.7073710458226501</v>
      </c>
      <c r="H39" s="5">
        <v>1.7819471380721701</v>
      </c>
      <c r="I39" s="5">
        <v>1.88115631719536</v>
      </c>
      <c r="J39" s="1"/>
      <c r="K39" s="10">
        <f t="shared" si="0"/>
        <v>2.3632443363915461</v>
      </c>
      <c r="L39" s="10">
        <f t="shared" si="3"/>
        <v>1.0599518056026294</v>
      </c>
      <c r="M39" s="8">
        <f t="shared" si="1"/>
        <v>1.7409684804903236E-14</v>
      </c>
      <c r="N39" s="8">
        <f>B39^2* UnnormalizedLowerIncompleteGamma(2/2 + 1, (A39/B39)^(2)) + C39^2 *UnnormalizedUpperIncompleteGamma(2/3.6 + 1, (A39/C39)^(3.6)) - 1</f>
        <v>-1.3100631690576847E-14</v>
      </c>
      <c r="O39" s="8">
        <f t="shared" si="2"/>
        <v>-1.3100631690576847E-14</v>
      </c>
    </row>
    <row r="40" spans="1:15" x14ac:dyDescent="0.25">
      <c r="A40" s="9">
        <v>0.38999999999999901</v>
      </c>
      <c r="B40" s="5">
        <v>2.3617811685346002</v>
      </c>
      <c r="C40" s="5">
        <v>1.0607335383093199</v>
      </c>
      <c r="D40" s="5">
        <v>1.2798889739099999</v>
      </c>
      <c r="E40" s="5">
        <v>1.4670613689093099</v>
      </c>
      <c r="F40" s="5">
        <v>1.64466512925015</v>
      </c>
      <c r="G40" s="5">
        <v>1.7074382457170201</v>
      </c>
      <c r="H40" s="5">
        <v>1.7820172731841299</v>
      </c>
      <c r="I40" s="5">
        <v>1.88123035705103</v>
      </c>
      <c r="J40" s="1"/>
      <c r="K40" s="10">
        <f t="shared" si="0"/>
        <v>2.3151283167560388</v>
      </c>
      <c r="L40" s="10">
        <f t="shared" si="3"/>
        <v>1.0600365673181262</v>
      </c>
      <c r="M40" s="8">
        <f t="shared" si="1"/>
        <v>3.7980035783036215E-14</v>
      </c>
      <c r="N40" s="8">
        <f>B40^2* UnnormalizedLowerIncompleteGamma(2/2 + 1, (A40/B40)^(2)) + C40^2 *UnnormalizedUpperIncompleteGamma(2/3.6 + 1, (A40/C40)^(3.6)) - 1</f>
        <v>0</v>
      </c>
      <c r="O40" s="8">
        <f t="shared" si="2"/>
        <v>1.3322676295501878E-15</v>
      </c>
    </row>
    <row r="41" spans="1:15" x14ac:dyDescent="0.25">
      <c r="A41" s="9">
        <v>0.39999999999999902</v>
      </c>
      <c r="B41" s="5">
        <v>2.3146103742605701</v>
      </c>
      <c r="C41" s="5">
        <v>1.06078041675854</v>
      </c>
      <c r="D41" s="5">
        <v>1.2799455377953699</v>
      </c>
      <c r="E41" s="5">
        <v>1.46712620476054</v>
      </c>
      <c r="F41" s="5">
        <v>1.64473781418747</v>
      </c>
      <c r="G41" s="5">
        <v>1.7075137048725999</v>
      </c>
      <c r="H41" s="5">
        <v>1.78209602831276</v>
      </c>
      <c r="I41" s="5">
        <v>1.88131349683928</v>
      </c>
      <c r="J41" s="1"/>
      <c r="K41" s="10">
        <f t="shared" si="0"/>
        <v>2.2693561892606615</v>
      </c>
      <c r="L41" s="10">
        <f t="shared" si="3"/>
        <v>1.0601290967340924</v>
      </c>
      <c r="M41" s="8">
        <f t="shared" si="1"/>
        <v>7.2528788530590305E-14</v>
      </c>
      <c r="N41" s="8">
        <f>B41^2* UnnormalizedLowerIncompleteGamma(2/2 + 1, (A41/B41)^(2)) + C41^2 *UnnormalizedUpperIncompleteGamma(2/3.6 + 1, (A41/C41)^(3.6)) - 1</f>
        <v>4.4408920985006262E-15</v>
      </c>
      <c r="O41" s="8">
        <f t="shared" si="2"/>
        <v>4.4408920985006262E-15</v>
      </c>
    </row>
    <row r="42" spans="1:15" x14ac:dyDescent="0.25">
      <c r="A42" s="9">
        <v>0.40999999999999898</v>
      </c>
      <c r="B42" s="5">
        <v>2.2695380821620899</v>
      </c>
      <c r="C42" s="5">
        <v>1.06083289386615</v>
      </c>
      <c r="D42" s="5">
        <v>1.2800088570635899</v>
      </c>
      <c r="E42" s="5">
        <v>1.4671987839093601</v>
      </c>
      <c r="F42" s="5">
        <v>1.6448191798329099</v>
      </c>
      <c r="G42" s="5">
        <v>1.7075981760591299</v>
      </c>
      <c r="H42" s="5">
        <v>1.78218418910794</v>
      </c>
      <c r="I42" s="5">
        <v>1.88140656595073</v>
      </c>
      <c r="J42" s="1"/>
      <c r="K42" s="10">
        <f t="shared" si="0"/>
        <v>2.2257684382724396</v>
      </c>
      <c r="L42" s="10">
        <f t="shared" si="3"/>
        <v>1.0602298708487805</v>
      </c>
      <c r="M42" s="8">
        <f t="shared" si="1"/>
        <v>1.2712053631958042E-13</v>
      </c>
      <c r="N42" s="8">
        <f>B42^2* UnnormalizedLowerIncompleteGamma(2/2 + 1, (A42/B42)^(2)) + C42^2 *UnnormalizedUpperIncompleteGamma(2/3.6 + 1, (A42/C42)^(3.6)) - 1</f>
        <v>-9.9920072216264089E-16</v>
      </c>
      <c r="O42" s="8">
        <f t="shared" si="2"/>
        <v>-9.9920072216264089E-16</v>
      </c>
    </row>
    <row r="43" spans="1:15" x14ac:dyDescent="0.25">
      <c r="A43" s="9">
        <v>0.41999999999999899</v>
      </c>
      <c r="B43" s="5">
        <v>2.2264261130167999</v>
      </c>
      <c r="C43" s="5">
        <v>1.0608914643498899</v>
      </c>
      <c r="D43" s="5">
        <v>1.2800795286447499</v>
      </c>
      <c r="E43" s="5">
        <v>1.46727979058158</v>
      </c>
      <c r="F43" s="5">
        <v>1.64490999324527</v>
      </c>
      <c r="G43" s="5">
        <v>1.7076924556122901</v>
      </c>
      <c r="H43" s="5">
        <v>1.78228258668845</v>
      </c>
      <c r="I43" s="5">
        <v>1.88151044177634</v>
      </c>
      <c r="J43" s="1"/>
      <c r="K43" s="10">
        <f t="shared" si="0"/>
        <v>2.1842198415496856</v>
      </c>
      <c r="L43" s="10">
        <f t="shared" si="3"/>
        <v>1.0603393806500889</v>
      </c>
      <c r="M43" s="8">
        <f t="shared" si="1"/>
        <v>2.0925622346013029E-13</v>
      </c>
      <c r="N43" s="8">
        <f>B43^2* UnnormalizedLowerIncompleteGamma(2/2 + 1, (A43/B43)^(2)) + C43^2 *UnnormalizedUpperIncompleteGamma(2/3.6 + 1, (A43/C43)^(3.6)) - 1</f>
        <v>-1.7763568394002505E-15</v>
      </c>
      <c r="O43" s="8">
        <f t="shared" si="2"/>
        <v>-1.7763568394002505E-15</v>
      </c>
    </row>
    <row r="44" spans="1:15" x14ac:dyDescent="0.25">
      <c r="A44" s="9">
        <v>0.42999999999999899</v>
      </c>
      <c r="B44" s="5">
        <v>2.1851486512762901</v>
      </c>
      <c r="C44" s="5">
        <v>1.0609566503621799</v>
      </c>
      <c r="D44" s="5">
        <v>1.28015818257183</v>
      </c>
      <c r="E44" s="5">
        <v>1.4673699469469299</v>
      </c>
      <c r="F44" s="5">
        <v>1.64501106402077</v>
      </c>
      <c r="G44" s="5">
        <v>1.7077973840287499</v>
      </c>
      <c r="H44" s="5">
        <v>1.78239209826291</v>
      </c>
      <c r="I44" s="5">
        <v>1.88162605036299</v>
      </c>
      <c r="J44" s="1"/>
      <c r="K44" s="10">
        <f t="shared" si="0"/>
        <v>2.1445778840087835</v>
      </c>
      <c r="L44" s="10">
        <f t="shared" si="3"/>
        <v>1.0604581308046479</v>
      </c>
      <c r="M44" s="8">
        <f t="shared" si="1"/>
        <v>3.2634311919466086E-13</v>
      </c>
      <c r="N44" s="8">
        <f>B44^2* UnnormalizedLowerIncompleteGamma(2/2 + 1, (A44/B44)^(2)) + C44^2 *UnnormalizedUpperIncompleteGamma(2/3.6 + 1, (A44/C44)^(3.6)) - 1</f>
        <v>1.5987211554602254E-14</v>
      </c>
      <c r="O44" s="8">
        <f t="shared" si="2"/>
        <v>1.5987211554602254E-14</v>
      </c>
    </row>
    <row r="45" spans="1:15" x14ac:dyDescent="0.25">
      <c r="A45" s="9">
        <v>0.439999999999999</v>
      </c>
      <c r="B45" s="5">
        <v>2.1455908954668499</v>
      </c>
      <c r="C45" s="5">
        <v>1.06102900176929</v>
      </c>
      <c r="D45" s="5">
        <v>1.28024548231758</v>
      </c>
      <c r="E45" s="5">
        <v>1.4674700135051399</v>
      </c>
      <c r="F45" s="5">
        <v>1.6451232447259401</v>
      </c>
      <c r="G45" s="5">
        <v>1.7079138464155501</v>
      </c>
      <c r="H45" s="5">
        <v>1.7825136475988601</v>
      </c>
      <c r="I45" s="5">
        <v>1.8817543669085699</v>
      </c>
      <c r="J45" s="1"/>
      <c r="K45" s="10">
        <f t="shared" si="0"/>
        <v>2.1067213799577029</v>
      </c>
      <c r="L45" s="10">
        <f t="shared" si="3"/>
        <v>1.0605866393095562</v>
      </c>
      <c r="M45" s="8">
        <f t="shared" si="1"/>
        <v>4.8267639884969071E-13</v>
      </c>
      <c r="N45" s="8">
        <f>B45^2* UnnormalizedLowerIncompleteGamma(2/2 + 1, (A45/B45)^(2)) + C45^2 *UnnormalizedUpperIncompleteGamma(2/3.6 + 1, (A45/C45)^(3.6)) - 1</f>
        <v>3.8191672047105385E-14</v>
      </c>
      <c r="O45" s="8">
        <f t="shared" si="2"/>
        <v>3.8191672047105385E-14</v>
      </c>
    </row>
    <row r="46" spans="1:15" x14ac:dyDescent="0.25">
      <c r="A46" s="9">
        <v>0.44999999999999901</v>
      </c>
      <c r="B46" s="5">
        <v>2.1076478825842599</v>
      </c>
      <c r="C46" s="5">
        <v>1.0611090963318699</v>
      </c>
      <c r="D46" s="5">
        <v>1.2803421250122999</v>
      </c>
      <c r="E46" s="5">
        <v>1.4675807893356101</v>
      </c>
      <c r="F46" s="5">
        <v>1.6452474311774501</v>
      </c>
      <c r="G46" s="5">
        <v>1.70804277278064</v>
      </c>
      <c r="H46" s="5">
        <v>1.78264820532599</v>
      </c>
      <c r="I46" s="5">
        <v>1.8818964160822</v>
      </c>
      <c r="J46" s="1"/>
      <c r="K46" s="10">
        <f t="shared" si="0"/>
        <v>2.0705392723389702</v>
      </c>
      <c r="L46" s="10">
        <f t="shared" si="3"/>
        <v>1.0607254371061816</v>
      </c>
      <c r="M46" s="8">
        <f t="shared" si="1"/>
        <v>6.8225286531387042E-13</v>
      </c>
      <c r="N46" s="8">
        <f>B46^2* UnnormalizedLowerIncompleteGamma(2/2 + 1, (A46/B46)^(2)) + C46^2 *UnnormalizedUpperIncompleteGamma(2/3.6 + 1, (A46/C46)^(3.6)) - 1</f>
        <v>5.9285909514983359E-14</v>
      </c>
      <c r="O46" s="8">
        <f t="shared" si="2"/>
        <v>5.9285909514983359E-14</v>
      </c>
    </row>
    <row r="47" spans="1:15" x14ac:dyDescent="0.25">
      <c r="A47" s="9">
        <v>0.45999999999999902</v>
      </c>
      <c r="B47" s="5">
        <v>2.0712234606690001</v>
      </c>
      <c r="C47" s="5">
        <v>1.0611975397785101</v>
      </c>
      <c r="D47" s="5">
        <v>1.2804488415326001</v>
      </c>
      <c r="E47" s="5">
        <v>1.4677031121991999</v>
      </c>
      <c r="F47" s="5">
        <v>1.64538456255621</v>
      </c>
      <c r="G47" s="5">
        <v>1.70818513815133</v>
      </c>
      <c r="H47" s="5">
        <v>1.78279678905973</v>
      </c>
      <c r="I47" s="5">
        <v>1.8820532721546399</v>
      </c>
      <c r="J47" s="1"/>
      <c r="K47" s="10">
        <f t="shared" si="0"/>
        <v>2.035929582856304</v>
      </c>
      <c r="L47" s="10">
        <f t="shared" si="3"/>
        <v>1.0608750676555292</v>
      </c>
      <c r="M47" s="8">
        <f t="shared" si="1"/>
        <v>9.2648111404969313E-13</v>
      </c>
      <c r="N47" s="8">
        <f>B47^2* UnnormalizedLowerIncompleteGamma(2/2 + 1, (A47/B47)^(2)) + C47^2 *UnnormalizedUpperIncompleteGamma(2/3.6 + 1, (A47/C47)^(3.6)) - 1</f>
        <v>6.8833827526759706E-14</v>
      </c>
      <c r="O47" s="8">
        <f t="shared" si="2"/>
        <v>6.8833827526759706E-14</v>
      </c>
    </row>
    <row r="48" spans="1:15" x14ac:dyDescent="0.25">
      <c r="A48" s="9">
        <v>0.46999999999999897</v>
      </c>
      <c r="B48" s="5">
        <v>2.03622938806445</v>
      </c>
      <c r="C48" s="5">
        <v>1.0612949657641599</v>
      </c>
      <c r="D48" s="5">
        <v>1.2805663964512399</v>
      </c>
      <c r="E48" s="5">
        <v>1.46783785848062</v>
      </c>
      <c r="F48" s="5">
        <v>1.64553562134288</v>
      </c>
      <c r="G48" s="5">
        <v>1.70834196250731</v>
      </c>
      <c r="H48" s="5">
        <v>1.78296046333136</v>
      </c>
      <c r="I48" s="5">
        <v>1.8822260589244899</v>
      </c>
      <c r="J48" s="1"/>
      <c r="K48" s="10">
        <f t="shared" si="0"/>
        <v>2.0027984911922716</v>
      </c>
      <c r="L48" s="10">
        <f t="shared" si="3"/>
        <v>1.0610360864747783</v>
      </c>
      <c r="M48" s="8">
        <f t="shared" si="1"/>
        <v>-3.1225022567582528E-16</v>
      </c>
      <c r="N48" s="8">
        <f>B48^2* UnnormalizedLowerIncompleteGamma(2/2 + 1, (A48/B48)^(2)) + C48^2 *UnnormalizedUpperIncompleteGamma(2/3.6 + 1, (A48/C48)^(3.6)) - 1</f>
        <v>-5.6621374255882984E-15</v>
      </c>
      <c r="O48" s="8">
        <f t="shared" si="2"/>
        <v>-5.6621374255882984E-15</v>
      </c>
    </row>
    <row r="49" spans="1:15" x14ac:dyDescent="0.25">
      <c r="A49" s="9">
        <v>0.47999999999999898</v>
      </c>
      <c r="B49" s="5">
        <v>2.00258454120597</v>
      </c>
      <c r="C49" s="5">
        <v>1.0614020357050999</v>
      </c>
      <c r="D49" s="5">
        <v>1.2806955878380599</v>
      </c>
      <c r="E49" s="5">
        <v>1.4679859429603399</v>
      </c>
      <c r="F49" s="5">
        <v>1.64570163306204</v>
      </c>
      <c r="G49" s="5">
        <v>1.7085143105151199</v>
      </c>
      <c r="H49" s="5">
        <v>1.78314033931087</v>
      </c>
      <c r="I49" s="5">
        <v>1.8824159494257</v>
      </c>
      <c r="J49" s="1"/>
      <c r="K49" s="10">
        <f t="shared" si="0"/>
        <v>1.9710595250630862</v>
      </c>
      <c r="L49" s="10">
        <f t="shared" si="3"/>
        <v>1.0612090606347044</v>
      </c>
      <c r="M49" s="8">
        <f t="shared" si="1"/>
        <v>-1.5334955527634975E-15</v>
      </c>
      <c r="N49" s="8">
        <f>B49^2* UnnormalizedLowerIncompleteGamma(2/2 + 1, (A49/B49)^(2)) + C49^2 *UnnormalizedUpperIncompleteGamma(2/3.6 + 1, (A49/C49)^(3.6)) - 1</f>
        <v>-1.8762769116165146E-14</v>
      </c>
      <c r="O49" s="8">
        <f t="shared" si="2"/>
        <v>-1.8762769116165146E-14</v>
      </c>
    </row>
    <row r="50" spans="1:15" x14ac:dyDescent="0.25">
      <c r="A50" s="9">
        <v>0.48999999999999899</v>
      </c>
      <c r="B50" s="5">
        <v>1.9702142161297</v>
      </c>
      <c r="C50" s="5">
        <v>1.0615194384829001</v>
      </c>
      <c r="D50" s="5">
        <v>1.2808372469026399</v>
      </c>
      <c r="E50" s="5">
        <v>1.46814831840496</v>
      </c>
      <c r="F50" s="5">
        <v>1.64588366582309</v>
      </c>
      <c r="G50" s="5">
        <v>1.7087032910514399</v>
      </c>
      <c r="H50" s="5">
        <v>1.7833375743094799</v>
      </c>
      <c r="I50" s="5">
        <v>1.8826241654022899</v>
      </c>
      <c r="J50" s="1"/>
      <c r="K50" s="10">
        <f t="shared" si="0"/>
        <v>1.9406328457599444</v>
      </c>
      <c r="L50" s="10">
        <f t="shared" si="3"/>
        <v>1.0613945682178103</v>
      </c>
      <c r="M50" s="8">
        <f t="shared" si="1"/>
        <v>-6.6613381477509392E-16</v>
      </c>
      <c r="N50" s="8">
        <f>B50^2* UnnormalizedLowerIncompleteGamma(2/2 + 1, (A50/B50)^(2)) + C50^2 *UnnormalizedUpperIncompleteGamma(2/3.6 + 1, (A50/C50)^(3.6)) - 1</f>
        <v>-8.659739592076221E-15</v>
      </c>
      <c r="O50" s="8">
        <f t="shared" si="2"/>
        <v>-8.659739592076221E-15</v>
      </c>
    </row>
    <row r="51" spans="1:15" x14ac:dyDescent="0.25">
      <c r="A51" s="9">
        <v>0.499999999999999</v>
      </c>
      <c r="B51" s="5">
        <v>1.9390495104990699</v>
      </c>
      <c r="C51" s="5">
        <v>1.06164789000932</v>
      </c>
      <c r="D51" s="5">
        <v>1.28099223746946</v>
      </c>
      <c r="E51" s="5">
        <v>1.4683259749656099</v>
      </c>
      <c r="F51" s="5">
        <v>1.6460828296457399</v>
      </c>
      <c r="G51" s="5">
        <v>1.7089100565029001</v>
      </c>
      <c r="H51" s="5">
        <v>1.7835533710487901</v>
      </c>
      <c r="I51" s="5">
        <v>1.88285197653693</v>
      </c>
      <c r="J51" s="1"/>
      <c r="K51" s="10">
        <f t="shared" si="0"/>
        <v>1.9114446162187013</v>
      </c>
      <c r="L51" s="10">
        <f t="shared" si="3"/>
        <v>1.0615931977371265</v>
      </c>
      <c r="M51" s="8">
        <f t="shared" si="1"/>
        <v>-4.5796699765787707E-16</v>
      </c>
      <c r="N51" s="8">
        <f>B51^2* UnnormalizedLowerIncompleteGamma(2/2 + 1, (A51/B51)^(2)) + C51^2 *UnnormalizedUpperIncompleteGamma(2/3.6 + 1, (A51/C51)^(3.6)) - 1</f>
        <v>-8.8817841970012523E-15</v>
      </c>
      <c r="O51" s="8">
        <f t="shared" si="2"/>
        <v>-8.8817841970012523E-15</v>
      </c>
    </row>
    <row r="52" spans="1:15" x14ac:dyDescent="0.25">
      <c r="A52" s="9">
        <v>0.50999999999999901</v>
      </c>
      <c r="B52" s="5">
        <v>1.90902677564491</v>
      </c>
      <c r="C52" s="5">
        <v>1.0617881326454099</v>
      </c>
      <c r="D52" s="5">
        <v>1.28116145527687</v>
      </c>
      <c r="E52" s="5">
        <v>1.4685199393744399</v>
      </c>
      <c r="F52" s="5">
        <v>1.64630027555923</v>
      </c>
      <c r="G52" s="5">
        <v>1.70913580183091</v>
      </c>
      <c r="H52" s="5">
        <v>1.7837889766848201</v>
      </c>
      <c r="I52" s="5">
        <v>1.8831006994205199</v>
      </c>
      <c r="J52" s="1"/>
      <c r="K52" s="10">
        <f t="shared" si="0"/>
        <v>1.883426440639421</v>
      </c>
      <c r="L52" s="10">
        <f t="shared" si="3"/>
        <v>1.0618055475157679</v>
      </c>
      <c r="M52" s="8">
        <f t="shared" si="1"/>
        <v>-9.0205620750793969E-16</v>
      </c>
      <c r="N52" s="8">
        <f>B52^2* UnnormalizedLowerIncompleteGamma(2/2 + 1, (A52/B52)^(2)) + C52^2 *UnnormalizedUpperIncompleteGamma(2/3.6 + 1, (A52/C52)^(3.6)) - 1</f>
        <v>-1.0769163338864018E-14</v>
      </c>
      <c r="O52" s="8">
        <f t="shared" si="2"/>
        <v>-1.0769163338864018E-14</v>
      </c>
    </row>
    <row r="53" spans="1:15" x14ac:dyDescent="0.25">
      <c r="A53" s="9">
        <v>0.51999999999999902</v>
      </c>
      <c r="B53" s="5">
        <v>1.8800871293099499</v>
      </c>
      <c r="C53" s="5">
        <v>1.06194093446796</v>
      </c>
      <c r="D53" s="5">
        <v>1.2813458270920499</v>
      </c>
      <c r="E53" s="5">
        <v>1.46873127393008</v>
      </c>
      <c r="F53" s="5">
        <v>1.64653719446503</v>
      </c>
      <c r="G53" s="5">
        <v>1.7093817633909301</v>
      </c>
      <c r="H53" s="5">
        <v>1.78404568157566</v>
      </c>
      <c r="I53" s="5">
        <v>1.8833716962513101</v>
      </c>
      <c r="J53" s="1"/>
      <c r="K53" s="10">
        <f t="shared" si="0"/>
        <v>1.8565148663221513</v>
      </c>
      <c r="L53" s="10">
        <f t="shared" si="3"/>
        <v>1.062032225027477</v>
      </c>
      <c r="M53" s="8">
        <f t="shared" si="1"/>
        <v>-1.3461454173580023E-15</v>
      </c>
      <c r="N53" s="8">
        <f>B53^2* UnnormalizedLowerIncompleteGamma(2/2 + 1, (A53/B53)^(2)) + C53^2 *UnnormalizedUpperIncompleteGamma(2/3.6 + 1, (A53/C53)^(3.6)) - 1</f>
        <v>-1.6653345369377348E-14</v>
      </c>
      <c r="O53" s="8">
        <f t="shared" si="2"/>
        <v>-1.6653345369377348E-14</v>
      </c>
    </row>
    <row r="54" spans="1:15" x14ac:dyDescent="0.25">
      <c r="A54" s="9">
        <v>0.52999999999999903</v>
      </c>
      <c r="B54" s="5">
        <v>1.85217602128581</v>
      </c>
      <c r="C54" s="5">
        <v>1.0621070883775701</v>
      </c>
      <c r="D54" s="5">
        <v>1.2815463096347399</v>
      </c>
      <c r="E54" s="5">
        <v>1.4689610752640301</v>
      </c>
      <c r="F54" s="5">
        <v>1.6467948157538299</v>
      </c>
      <c r="G54" s="5">
        <v>1.70964921749668</v>
      </c>
      <c r="H54" s="5">
        <v>1.78432481778304</v>
      </c>
      <c r="I54" s="5">
        <v>1.8836663732530301</v>
      </c>
      <c r="J54" s="1"/>
      <c r="K54" s="10">
        <f t="shared" si="0"/>
        <v>1.8306509397571289</v>
      </c>
      <c r="L54" s="10">
        <f t="shared" si="3"/>
        <v>1.0622738461985333</v>
      </c>
      <c r="M54" s="8">
        <f t="shared" si="1"/>
        <v>0</v>
      </c>
      <c r="N54" s="8">
        <f>B54^2* UnnormalizedLowerIncompleteGamma(2/2 + 1, (A54/B54)^(2)) + C54^2 *UnnormalizedUpperIncompleteGamma(2/3.6 + 1, (A54/C54)^(3.6)) - 1</f>
        <v>-6.2172489379008766E-15</v>
      </c>
      <c r="O54" s="8">
        <f t="shared" si="2"/>
        <v>-6.2172489379008766E-15</v>
      </c>
    </row>
    <row r="55" spans="1:15" x14ac:dyDescent="0.25">
      <c r="A55" s="9">
        <v>0.53999999999999904</v>
      </c>
      <c r="B55" s="5">
        <v>1.82524284524643</v>
      </c>
      <c r="C55" s="5">
        <v>1.0622874110432099</v>
      </c>
      <c r="D55" s="5">
        <v>1.2817638883038101</v>
      </c>
      <c r="E55" s="5">
        <v>1.46921047288101</v>
      </c>
      <c r="F55" s="5">
        <v>1.6470744056691999</v>
      </c>
      <c r="G55" s="5">
        <v>1.70993947872137</v>
      </c>
      <c r="H55" s="5">
        <v>1.7846277572992499</v>
      </c>
      <c r="I55" s="5">
        <v>1.8839861788030901</v>
      </c>
      <c r="J55" s="1"/>
      <c r="K55" s="10">
        <f t="shared" si="0"/>
        <v>1.8057798101560467</v>
      </c>
      <c r="L55" s="10">
        <f t="shared" si="3"/>
        <v>1.0625310346715615</v>
      </c>
      <c r="M55" s="8">
        <f t="shared" si="1"/>
        <v>-2.3453461395206432E-15</v>
      </c>
      <c r="N55" s="8">
        <f>B55^2* UnnormalizedLowerIncompleteGamma(2/2 + 1, (A55/B55)^(2)) + C55^2 *UnnormalizedUpperIncompleteGamma(2/3.6 + 1, (A55/C55)^(3.6)) - 1</f>
        <v>-1.8873791418627661E-14</v>
      </c>
      <c r="O55" s="8">
        <f t="shared" si="2"/>
        <v>-1.8873791418627661E-14</v>
      </c>
    </row>
    <row r="56" spans="1:15" x14ac:dyDescent="0.25">
      <c r="A56" s="9">
        <v>0.54999999999999905</v>
      </c>
      <c r="B56" s="5">
        <v>1.79924059103636</v>
      </c>
      <c r="C56" s="5">
        <v>1.06248274167942</v>
      </c>
      <c r="D56" s="5">
        <v>1.2819995757017499</v>
      </c>
      <c r="E56" s="5">
        <v>1.46948062746762</v>
      </c>
      <c r="F56" s="5">
        <v>1.64737726541148</v>
      </c>
      <c r="G56" s="5">
        <v>1.7102538979291799</v>
      </c>
      <c r="H56" s="5">
        <v>1.7849559099927701</v>
      </c>
      <c r="I56" s="5">
        <v>1.88433260126379</v>
      </c>
      <c r="J56" s="1"/>
      <c r="K56" s="10">
        <f t="shared" si="0"/>
        <v>1.7818503745758008</v>
      </c>
      <c r="L56" s="10">
        <f t="shared" si="3"/>
        <v>1.0628044210319345</v>
      </c>
      <c r="M56" s="8">
        <f t="shared" si="1"/>
        <v>-5.4123372450476381E-16</v>
      </c>
      <c r="N56" s="8">
        <f>B56^2* UnnormalizedLowerIncompleteGamma(2/2 + 1, (A56/B56)^(2)) + C56^2 *UnnormalizedUpperIncompleteGamma(2/3.6 + 1, (A56/C56)^(3.6)) - 1</f>
        <v>-1.0769163338864018E-14</v>
      </c>
      <c r="O56" s="8">
        <f t="shared" si="2"/>
        <v>-1.0769163338864018E-14</v>
      </c>
    </row>
    <row r="57" spans="1:15" x14ac:dyDescent="0.25">
      <c r="A57" s="9">
        <v>0.55999999999999905</v>
      </c>
      <c r="B57" s="5">
        <v>1.77412553247667</v>
      </c>
      <c r="C57" s="5">
        <v>1.062693940653</v>
      </c>
      <c r="D57" s="5">
        <v>1.28225440995354</v>
      </c>
      <c r="E57" s="5">
        <v>1.4697727289653999</v>
      </c>
      <c r="F57" s="5">
        <v>1.6477047289776201</v>
      </c>
      <c r="G57" s="5">
        <v>1.71059386003269</v>
      </c>
      <c r="H57" s="5">
        <v>1.78531072126761</v>
      </c>
      <c r="I57" s="5">
        <v>1.8847071665114401</v>
      </c>
      <c r="J57" s="1"/>
      <c r="K57" s="10">
        <f t="shared" si="0"/>
        <v>1.7588149595994425</v>
      </c>
      <c r="L57" s="10">
        <f t="shared" si="3"/>
        <v>1.0630946419976299</v>
      </c>
      <c r="M57" s="8">
        <f t="shared" si="1"/>
        <v>6.3837823915946501E-16</v>
      </c>
      <c r="N57" s="8">
        <f>B57^2* UnnormalizedLowerIncompleteGamma(2/2 + 1, (A57/B57)^(2)) + C57^2 *UnnormalizedUpperIncompleteGamma(2/3.6 + 1, (A57/C57)^(3.6)) - 1</f>
        <v>-3.5527136788005009E-15</v>
      </c>
      <c r="O57" s="8">
        <f t="shared" si="2"/>
        <v>-3.5527136788005009E-15</v>
      </c>
    </row>
    <row r="58" spans="1:15" x14ac:dyDescent="0.25">
      <c r="A58" s="9">
        <v>0.56999999999999895</v>
      </c>
      <c r="B58" s="5">
        <v>1.7498569464315099</v>
      </c>
      <c r="C58" s="5">
        <v>1.0629218879178499</v>
      </c>
      <c r="D58" s="5">
        <v>1.2825294528180999</v>
      </c>
      <c r="E58" s="5">
        <v>1.4700879944060901</v>
      </c>
      <c r="F58" s="5">
        <v>1.6480581607342899</v>
      </c>
      <c r="G58" s="5">
        <v>1.7109607814733301</v>
      </c>
      <c r="H58" s="5">
        <v>1.7856936694338199</v>
      </c>
      <c r="I58" s="5">
        <v>1.8851114351603999</v>
      </c>
      <c r="J58" s="1"/>
      <c r="K58" s="10">
        <f t="shared" si="0"/>
        <v>1.7366290352269047</v>
      </c>
      <c r="L58" s="10">
        <f t="shared" si="3"/>
        <v>1.0634023395735723</v>
      </c>
      <c r="M58" s="8">
        <f t="shared" si="1"/>
        <v>9.5756735873919752E-16</v>
      </c>
      <c r="N58" s="8">
        <f>B58^2* UnnormalizedLowerIncompleteGamma(2/2 + 1, (A58/B58)^(2)) + C58^2 *UnnormalizedUpperIncompleteGamma(2/3.6 + 1, (A58/C58)^(3.6)) - 1</f>
        <v>-1.5543122344752192E-15</v>
      </c>
      <c r="O58" s="8">
        <f t="shared" si="2"/>
        <v>-1.5543122344752192E-15</v>
      </c>
    </row>
    <row r="59" spans="1:15" x14ac:dyDescent="0.25">
      <c r="A59" s="9">
        <v>0.57999999999999896</v>
      </c>
      <c r="B59" s="5">
        <v>1.72639685945628</v>
      </c>
      <c r="C59" s="5">
        <v>1.06316748127762</v>
      </c>
      <c r="D59" s="5">
        <v>1.2828257875919999</v>
      </c>
      <c r="E59" s="5">
        <v>1.47042766550876</v>
      </c>
      <c r="F59" s="5">
        <v>1.6484389527241801</v>
      </c>
      <c r="G59" s="5">
        <v>1.71135610742488</v>
      </c>
      <c r="H59" s="5">
        <v>1.7861062627888</v>
      </c>
      <c r="I59" s="5">
        <v>1.8855469994819001</v>
      </c>
      <c r="J59" s="1"/>
      <c r="K59" s="10">
        <f t="shared" si="0"/>
        <v>1.7152509572116399</v>
      </c>
      <c r="L59" s="10">
        <f t="shared" si="3"/>
        <v>1.0637281601716633</v>
      </c>
      <c r="M59" s="8">
        <f t="shared" si="1"/>
        <v>-2.3731017151362721E-15</v>
      </c>
      <c r="N59" s="8">
        <f>B59^2* UnnormalizedLowerIncompleteGamma(2/2 + 1, (A59/B59)^(2)) + C59^2 *UnnormalizedUpperIncompleteGamma(2/3.6 + 1, (A59/C59)^(3.6)) - 1</f>
        <v>-1.5987211554602254E-14</v>
      </c>
      <c r="O59" s="8">
        <f t="shared" si="2"/>
        <v>-1.5987211554602254E-14</v>
      </c>
    </row>
    <row r="60" spans="1:15" x14ac:dyDescent="0.25">
      <c r="A60" s="9">
        <v>0.58999999999999897</v>
      </c>
      <c r="B60" s="5">
        <v>1.70370981883967</v>
      </c>
      <c r="C60" s="5">
        <v>1.06343163447764</v>
      </c>
      <c r="D60" s="5">
        <v>1.28314451680713</v>
      </c>
      <c r="E60" s="5">
        <v>1.4707930060407799</v>
      </c>
      <c r="F60" s="5">
        <v>1.6488485217075</v>
      </c>
      <c r="G60" s="5">
        <v>1.7117813087220499</v>
      </c>
      <c r="H60" s="5">
        <v>1.78655003641167</v>
      </c>
      <c r="I60" s="5">
        <v>1.88601548001999</v>
      </c>
      <c r="J60" s="1"/>
      <c r="K60" s="10">
        <f t="shared" si="0"/>
        <v>1.6946417345759492</v>
      </c>
      <c r="L60" s="10">
        <f t="shared" si="3"/>
        <v>1.064072753697882</v>
      </c>
      <c r="M60" s="8">
        <f t="shared" si="1"/>
        <v>-3.1641356201816961E-15</v>
      </c>
      <c r="N60" s="8">
        <f>B60^2* UnnormalizedLowerIncompleteGamma(2/2 + 1, (A60/B60)^(2)) + C60^2 *UnnormalizedUpperIncompleteGamma(2/3.6 + 1, (A60/C60)^(3.6)) - 1</f>
        <v>-1.8984813721090177E-14</v>
      </c>
      <c r="O60" s="8">
        <f t="shared" si="2"/>
        <v>-1.8984813721090177E-14</v>
      </c>
    </row>
    <row r="61" spans="1:15" x14ac:dyDescent="0.25">
      <c r="A61" s="9">
        <v>0.59999999999999898</v>
      </c>
      <c r="B61" s="5">
        <v>1.6817626852719201</v>
      </c>
      <c r="C61" s="5">
        <v>1.0637152751290999</v>
      </c>
      <c r="D61" s="5">
        <v>1.28348675972605</v>
      </c>
      <c r="E61" s="5">
        <v>1.4711852989469401</v>
      </c>
      <c r="F61" s="5">
        <v>1.64928830594344</v>
      </c>
      <c r="G61" s="5">
        <v>1.7122378785191299</v>
      </c>
      <c r="H61" s="5">
        <v>1.7870265486760799</v>
      </c>
      <c r="I61" s="5">
        <v>1.88651852191009</v>
      </c>
      <c r="J61" s="1"/>
      <c r="K61" s="10">
        <f t="shared" si="0"/>
        <v>1.6747648194616309</v>
      </c>
      <c r="L61" s="10">
        <f t="shared" si="3"/>
        <v>1.0644367726080119</v>
      </c>
      <c r="M61" s="8">
        <f t="shared" si="1"/>
        <v>4.163336342344337E-16</v>
      </c>
      <c r="N61" s="8">
        <f>B61^2* UnnormalizedLowerIncompleteGamma(2/2 + 1, (A61/B61)^(2)) + C61^2 *UnnormalizedUpperIncompleteGamma(2/3.6 + 1, (A61/C61)^(3.6)) - 1</f>
        <v>-5.9952043329758453E-15</v>
      </c>
      <c r="O61" s="8">
        <f t="shared" si="2"/>
        <v>-5.9952043329758453E-15</v>
      </c>
    </row>
    <row r="62" spans="1:15" x14ac:dyDescent="0.25">
      <c r="A62" s="9">
        <v>0.60999999999999899</v>
      </c>
      <c r="B62" s="5">
        <v>1.6605244447310701</v>
      </c>
      <c r="C62" s="5">
        <v>1.0640193424704001</v>
      </c>
      <c r="D62" s="5">
        <v>1.2838536496408199</v>
      </c>
      <c r="E62" s="5">
        <v>1.47160584325318</v>
      </c>
      <c r="F62" s="5">
        <v>1.6497597617192099</v>
      </c>
      <c r="G62" s="5">
        <v>1.7127273286864599</v>
      </c>
      <c r="H62" s="5">
        <v>1.7875373774892001</v>
      </c>
      <c r="I62" s="5">
        <v>1.88705779090875</v>
      </c>
      <c r="J62" s="1"/>
      <c r="K62" s="10">
        <f t="shared" si="0"/>
        <v>1.6555859168353819</v>
      </c>
      <c r="L62" s="10">
        <f t="shared" si="3"/>
        <v>1.0648208709337308</v>
      </c>
      <c r="M62" s="8">
        <f t="shared" si="1"/>
        <v>-2.8588242884097781E-15</v>
      </c>
      <c r="N62" s="8">
        <f>B62^2* UnnormalizedLowerIncompleteGamma(2/2 + 1, (A62/B62)^(2)) + C62^2 *UnnormalizedUpperIncompleteGamma(2/3.6 + 1, (A62/C62)^(3.6)) - 1</f>
        <v>-1.6320278461989801E-14</v>
      </c>
      <c r="O62" s="8">
        <f t="shared" si="2"/>
        <v>-1.6320278461989801E-14</v>
      </c>
    </row>
    <row r="63" spans="1:15" x14ac:dyDescent="0.25">
      <c r="A63" s="9">
        <v>0.619999999999999</v>
      </c>
      <c r="B63" s="5">
        <v>1.6399660374876499</v>
      </c>
      <c r="C63" s="5">
        <v>1.0643447849724299</v>
      </c>
      <c r="D63" s="5">
        <v>1.28424633098344</v>
      </c>
      <c r="E63" s="5">
        <v>1.4720559507545301</v>
      </c>
      <c r="F63" s="5">
        <v>1.6502643596369</v>
      </c>
      <c r="G63" s="5">
        <v>1.7132511859556701</v>
      </c>
      <c r="H63" s="5">
        <v>1.7880841162686301</v>
      </c>
      <c r="I63" s="5">
        <v>1.88763496914643</v>
      </c>
      <c r="J63" s="1"/>
      <c r="K63" s="10">
        <f t="shared" si="0"/>
        <v>1.637072811879744</v>
      </c>
      <c r="L63" s="10">
        <f t="shared" si="3"/>
        <v>1.0652257032809775</v>
      </c>
      <c r="M63" s="8">
        <f t="shared" si="1"/>
        <v>-1.1657341758564144E-15</v>
      </c>
      <c r="N63" s="8">
        <f>B63^2* UnnormalizedLowerIncompleteGamma(2/2 + 1, (A63/B63)^(2)) + C63^2 *UnnormalizedUpperIncompleteGamma(2/3.6 + 1, (A63/C63)^(3.6)) - 1</f>
        <v>-6.7723604502134549E-15</v>
      </c>
      <c r="O63" s="8">
        <f t="shared" si="2"/>
        <v>-6.6613381477509392E-15</v>
      </c>
    </row>
    <row r="64" spans="1:15" x14ac:dyDescent="0.25">
      <c r="A64" s="9">
        <v>0.62999999999999901</v>
      </c>
      <c r="B64" s="5">
        <v>1.62006020239431</v>
      </c>
      <c r="C64" s="5">
        <v>1.0646925577961901</v>
      </c>
      <c r="D64" s="5">
        <v>1.2846659562582901</v>
      </c>
      <c r="E64" s="5">
        <v>1.4725369424988899</v>
      </c>
      <c r="F64" s="5">
        <v>1.6508035806716701</v>
      </c>
      <c r="G64" s="5">
        <v>1.71381098782736</v>
      </c>
      <c r="H64" s="5">
        <v>1.7886683696713099</v>
      </c>
      <c r="I64" s="5">
        <v>1.88825175061867</v>
      </c>
      <c r="J64" s="1"/>
      <c r="K64" s="10">
        <f t="shared" si="0"/>
        <v>1.6191952131683192</v>
      </c>
      <c r="L64" s="10">
        <f t="shared" si="3"/>
        <v>1.0656519238026838</v>
      </c>
      <c r="M64" s="8">
        <f t="shared" si="1"/>
        <v>-5.5511151231257827E-16</v>
      </c>
      <c r="N64" s="8">
        <f>B64^2* UnnormalizedLowerIncompleteGamma(2/2 + 1, (A64/B64)^(2)) + C64^2 *UnnormalizedUpperIncompleteGamma(2/3.6 + 1, (A64/C64)^(3.6)) - 1</f>
        <v>-9.5479180117763462E-15</v>
      </c>
      <c r="O64" s="8">
        <f t="shared" si="2"/>
        <v>-9.5479180117763462E-15</v>
      </c>
    </row>
    <row r="65" spans="1:15" x14ac:dyDescent="0.25">
      <c r="A65" s="9">
        <v>0.63999999999999901</v>
      </c>
      <c r="B65" s="5">
        <v>1.6007813348559099</v>
      </c>
      <c r="C65" s="5">
        <v>1.0650636201136301</v>
      </c>
      <c r="D65" s="5">
        <v>1.2851136828093701</v>
      </c>
      <c r="E65" s="5">
        <v>1.4730501450815501</v>
      </c>
      <c r="F65" s="5">
        <v>1.6513789120175999</v>
      </c>
      <c r="G65" s="5">
        <v>1.71440827825842</v>
      </c>
      <c r="H65" s="5">
        <v>1.78929174909245</v>
      </c>
      <c r="I65" s="5">
        <v>1.8889098364344901</v>
      </c>
      <c r="J65" s="1"/>
      <c r="K65" s="10">
        <f t="shared" si="0"/>
        <v>1.6019246099551236</v>
      </c>
      <c r="L65" s="10">
        <f t="shared" si="3"/>
        <v>1.0661001851481291</v>
      </c>
      <c r="M65" s="8">
        <f t="shared" si="1"/>
        <v>9.4368957093138306E-16</v>
      </c>
      <c r="N65" s="8">
        <f>B65^2* UnnormalizedLowerIncompleteGamma(2/2 + 1, (A65/B65)^(2)) + C65^2 *UnnormalizedUpperIncompleteGamma(2/3.6 + 1, (A65/C65)^(3.6)) - 1</f>
        <v>-3.8857805861880479E-15</v>
      </c>
      <c r="O65" s="8">
        <f t="shared" si="2"/>
        <v>-3.8857805861880479E-15</v>
      </c>
    </row>
    <row r="66" spans="1:15" x14ac:dyDescent="0.25">
      <c r="A66" s="9">
        <v>0.64999999999999902</v>
      </c>
      <c r="B66" s="5">
        <v>1.58210535707404</v>
      </c>
      <c r="C66" s="5">
        <v>1.06545893230399</v>
      </c>
      <c r="D66" s="5">
        <v>1.28559066943742</v>
      </c>
      <c r="E66" s="5">
        <v>1.47359688676755</v>
      </c>
      <c r="F66" s="5">
        <v>1.6519918427407001</v>
      </c>
      <c r="G66" s="5">
        <v>1.71504460314911</v>
      </c>
      <c r="H66" s="5">
        <v>1.7899558679555601</v>
      </c>
      <c r="I66" s="5">
        <v>1.88961092984405</v>
      </c>
      <c r="J66" s="1"/>
      <c r="K66" s="10">
        <f t="shared" si="0"/>
        <v>1.5852341421078471</v>
      </c>
      <c r="L66" s="10">
        <f t="shared" si="3"/>
        <v>1.0665711373913513</v>
      </c>
      <c r="M66" s="8">
        <f t="shared" si="1"/>
        <v>5.8286708792820718E-16</v>
      </c>
      <c r="N66" s="8">
        <f>B66^2* UnnormalizedLowerIncompleteGamma(2/2 + 1, (A66/B66)^(2)) + C66^2 *UnnormalizedUpperIncompleteGamma(2/3.6 + 1, (A66/C66)^(3.6)) - 1</f>
        <v>-2.3314683517128287E-15</v>
      </c>
      <c r="O66" s="8">
        <f t="shared" si="2"/>
        <v>-2.3314683517128287E-15</v>
      </c>
    </row>
    <row r="67" spans="1:15" x14ac:dyDescent="0.25">
      <c r="A67" s="9">
        <v>0.65999999999999903</v>
      </c>
      <c r="B67" s="5">
        <v>1.5640095993319401</v>
      </c>
      <c r="C67" s="5">
        <v>1.06587945304028</v>
      </c>
      <c r="D67" s="5">
        <v>1.28609807288442</v>
      </c>
      <c r="E67" s="5">
        <v>1.47417849346213</v>
      </c>
      <c r="F67" s="5">
        <v>1.6526438592614701</v>
      </c>
      <c r="G67" s="5">
        <v>1.71572150565321</v>
      </c>
      <c r="H67" s="5">
        <v>1.79066233681767</v>
      </c>
      <c r="I67" s="5">
        <v>1.8903567310715199</v>
      </c>
      <c r="J67" s="1"/>
      <c r="K67" s="10">
        <f t="shared" ref="K67:K130" si="4">GetH1Initial(A67)</f>
        <v>1.5690984813880693</v>
      </c>
      <c r="L67" s="10">
        <f t="shared" ref="L67:L130" si="5">GetH2Initial(A67)</f>
        <v>1.0670654269412005</v>
      </c>
      <c r="M67" s="8">
        <f t="shared" ref="M67:M130" si="6">(A67/B67)^2-(A67/C67)^3.6</f>
        <v>-8.8817841970012523E-16</v>
      </c>
      <c r="N67" s="8">
        <f>B67^2* UnnormalizedLowerIncompleteGamma(2/2 + 1, (A67/B67)^(2)) + C67^2 *UnnormalizedUpperIncompleteGamma(2/3.6 + 1, (A67/C67)^(3.6)) - 1</f>
        <v>-1.099120794378905E-14</v>
      </c>
      <c r="O67" s="8">
        <f t="shared" ref="O67:O130" si="7">CalculateF1_ForCell(A67,B67,C67)</f>
        <v>-1.099120794378905E-14</v>
      </c>
    </row>
    <row r="68" spans="1:15" x14ac:dyDescent="0.25">
      <c r="A68" s="9">
        <v>0.66999999999999904</v>
      </c>
      <c r="B68" s="5">
        <v>1.5464726912347799</v>
      </c>
      <c r="C68" s="5">
        <v>1.0663261362821399</v>
      </c>
      <c r="D68" s="5">
        <v>1.28663704420514</v>
      </c>
      <c r="E68" s="5">
        <v>1.4747962845515901</v>
      </c>
      <c r="F68" s="5">
        <v>1.6533364406922999</v>
      </c>
      <c r="G68" s="5">
        <v>1.71644052133747</v>
      </c>
      <c r="H68" s="5">
        <v>1.79141275831739</v>
      </c>
      <c r="I68" s="5">
        <v>1.89114893198175</v>
      </c>
      <c r="J68" s="1"/>
      <c r="K68" s="10">
        <f t="shared" si="4"/>
        <v>1.553493722932062</v>
      </c>
      <c r="L68" s="10">
        <f t="shared" si="5"/>
        <v>1.0675836954357809</v>
      </c>
      <c r="M68" s="8">
        <f t="shared" si="6"/>
        <v>2.248201624865942E-15</v>
      </c>
      <c r="N68" s="8">
        <f>B68^2* UnnormalizedLowerIncompleteGamma(2/2 + 1, (A68/B68)^(2)) + C68^2 *UnnormalizedUpperIncompleteGamma(2/3.6 + 1, (A68/C68)^(3.6)) - 1</f>
        <v>0</v>
      </c>
      <c r="O68" s="8">
        <f t="shared" si="7"/>
        <v>-1.1102230246251565E-16</v>
      </c>
    </row>
    <row r="69" spans="1:15" x14ac:dyDescent="0.25">
      <c r="A69" s="9">
        <v>0.67999999999999905</v>
      </c>
      <c r="B69" s="5">
        <v>1.5294744619498399</v>
      </c>
      <c r="C69" s="5">
        <v>1.06679992819307</v>
      </c>
      <c r="D69" s="5">
        <v>1.2872087250475299</v>
      </c>
      <c r="E69" s="5">
        <v>1.47545156863975</v>
      </c>
      <c r="F69" s="5">
        <v>1.6540710540577599</v>
      </c>
      <c r="G69" s="5">
        <v>1.71720317321942</v>
      </c>
      <c r="H69" s="5">
        <v>1.7922087219959999</v>
      </c>
      <c r="I69" s="5">
        <v>1.89198921061308</v>
      </c>
      <c r="J69" s="1"/>
      <c r="K69" s="10">
        <f t="shared" si="4"/>
        <v>1.5383972859169077</v>
      </c>
      <c r="L69" s="10">
        <f t="shared" si="5"/>
        <v>1.0681265786241738</v>
      </c>
      <c r="M69" s="8">
        <f t="shared" si="6"/>
        <v>-1.4432899320127035E-15</v>
      </c>
      <c r="N69" s="8">
        <f>B69^2* UnnormalizedLowerIncompleteGamma(2/2 + 1, (A69/B69)^(2)) + C69^2 *UnnormalizedUpperIncompleteGamma(2/3.6 + 1, (A69/C69)^(3.6)) - 1</f>
        <v>-6.5503158452884236E-15</v>
      </c>
      <c r="O69" s="8">
        <f t="shared" si="7"/>
        <v>-6.5503158452884236E-15</v>
      </c>
    </row>
    <row r="70" spans="1:15" x14ac:dyDescent="0.25">
      <c r="A70" s="9">
        <v>0.68999999999999895</v>
      </c>
      <c r="B70" s="5">
        <v>1.51299584860412</v>
      </c>
      <c r="C70" s="5">
        <v>1.0673017640018501</v>
      </c>
      <c r="D70" s="5">
        <v>1.28781424386557</v>
      </c>
      <c r="E70" s="5">
        <v>1.4761456392069701</v>
      </c>
      <c r="F70" s="5">
        <v>1.6548491494280999</v>
      </c>
      <c r="G70" s="5">
        <v>1.7180109667151899</v>
      </c>
      <c r="H70" s="5">
        <v>1.79305179902455</v>
      </c>
      <c r="I70" s="5">
        <v>1.89287922561086</v>
      </c>
      <c r="J70" s="1"/>
      <c r="K70" s="10">
        <f t="shared" si="4"/>
        <v>1.5237878225110979</v>
      </c>
      <c r="L70" s="10">
        <f t="shared" si="5"/>
        <v>1.0686947052384705</v>
      </c>
      <c r="M70" s="8">
        <f t="shared" si="6"/>
        <v>-5.4123372450476381E-15</v>
      </c>
      <c r="N70" s="8">
        <f>B70^2* UnnormalizedLowerIncompleteGamma(2/2 + 1, (A70/B70)^(2)) + C70^2 *UnnormalizedUpperIncompleteGamma(2/3.6 + 1, (A70/C70)^(3.6)) - 1</f>
        <v>-1.8318679906315083E-14</v>
      </c>
      <c r="O70" s="8">
        <f t="shared" si="7"/>
        <v>-1.8318679906315083E-14</v>
      </c>
    </row>
    <row r="71" spans="1:15" x14ac:dyDescent="0.25">
      <c r="A71" s="9">
        <v>0.69999999999999896</v>
      </c>
      <c r="B71" s="5">
        <v>1.4970188120950101</v>
      </c>
      <c r="C71" s="5">
        <v>1.0678325648290199</v>
      </c>
      <c r="D71" s="5">
        <v>1.2884547120901499</v>
      </c>
      <c r="E71" s="5">
        <v>1.4768797702210199</v>
      </c>
      <c r="F71" s="5">
        <v>1.6556721549987601</v>
      </c>
      <c r="G71" s="5">
        <v>1.7188653845311901</v>
      </c>
      <c r="H71" s="5">
        <v>1.7939435368724299</v>
      </c>
      <c r="I71" s="5">
        <v>1.8938206105992099</v>
      </c>
      <c r="J71" s="1"/>
      <c r="K71" s="10">
        <f t="shared" si="4"/>
        <v>1.5096451343088437</v>
      </c>
      <c r="L71" s="10">
        <f t="shared" si="5"/>
        <v>1.0692886958592671</v>
      </c>
      <c r="M71" s="8">
        <f t="shared" si="6"/>
        <v>0</v>
      </c>
      <c r="N71" s="8">
        <f>B71^2* UnnormalizedLowerIncompleteGamma(2/2 + 1, (A71/B71)^(2)) + C71^2 *UnnormalizedUpperIncompleteGamma(2/3.6 + 1, (A71/C71)^(3.6)) - 1</f>
        <v>-5.773159728050814E-15</v>
      </c>
      <c r="O71" s="8">
        <f t="shared" si="7"/>
        <v>-5.773159728050814E-15</v>
      </c>
    </row>
    <row r="72" spans="1:15" x14ac:dyDescent="0.25">
      <c r="A72" s="9">
        <v>0.70999999999999897</v>
      </c>
      <c r="B72" s="5">
        <v>1.48152625965512</v>
      </c>
      <c r="C72" s="5">
        <v>1.0683932345006999</v>
      </c>
      <c r="D72" s="5">
        <v>1.2891312202845999</v>
      </c>
      <c r="E72" s="5">
        <v>1.47765521173045</v>
      </c>
      <c r="F72" s="5">
        <v>1.65654147215028</v>
      </c>
      <c r="G72" s="5">
        <v>1.71976788153545</v>
      </c>
      <c r="H72" s="5">
        <v>1.7948854539547201</v>
      </c>
      <c r="I72" s="5">
        <v>1.8948149685303599</v>
      </c>
      <c r="J72" s="1"/>
      <c r="K72" s="10">
        <f t="shared" si="4"/>
        <v>1.4959500955350176</v>
      </c>
      <c r="L72" s="10">
        <f t="shared" si="5"/>
        <v>1.0699091617778933</v>
      </c>
      <c r="M72" s="8">
        <f t="shared" si="6"/>
        <v>-9.9920072216264089E-16</v>
      </c>
      <c r="N72" s="8">
        <f>B72^2* UnnormalizedLowerIncompleteGamma(2/2 + 1, (A72/B72)^(2)) + C72^2 *UnnormalizedUpperIncompleteGamma(2/3.6 + 1, (A72/C72)^(3.6)) - 1</f>
        <v>-9.3258734068513149E-15</v>
      </c>
      <c r="O72" s="8">
        <f t="shared" si="7"/>
        <v>-9.3258734068513149E-15</v>
      </c>
    </row>
    <row r="73" spans="1:15" x14ac:dyDescent="0.25">
      <c r="A73" s="9">
        <v>0.71999999999999897</v>
      </c>
      <c r="B73" s="5">
        <v>1.4665019735870199</v>
      </c>
      <c r="C73" s="5">
        <v>1.0689846563730501</v>
      </c>
      <c r="D73" s="5">
        <v>1.28984483431301</v>
      </c>
      <c r="E73" s="5">
        <v>1.4784731854725</v>
      </c>
      <c r="F73" s="5">
        <v>1.6574584705245099</v>
      </c>
      <c r="G73" s="5">
        <v>1.72071987964594</v>
      </c>
      <c r="H73" s="5">
        <v>1.79587903429719</v>
      </c>
      <c r="I73" s="5">
        <v>1.8958638660525899</v>
      </c>
      <c r="J73" s="1"/>
      <c r="K73" s="10">
        <f t="shared" si="4"/>
        <v>1.4826845823846366</v>
      </c>
      <c r="L73" s="10">
        <f t="shared" si="5"/>
        <v>1.0705567038587414</v>
      </c>
      <c r="M73" s="8">
        <f t="shared" si="6"/>
        <v>-1.7208456881689926E-15</v>
      </c>
      <c r="N73" s="8">
        <f>B73^2* UnnormalizedLowerIncompleteGamma(2/2 + 1, (A73/B73)^(2)) + C73^2 *UnnormalizedUpperIncompleteGamma(2/3.6 + 1, (A73/C73)^(3.6)) - 1</f>
        <v>-7.5495165674510645E-15</v>
      </c>
      <c r="O73" s="8">
        <f t="shared" si="7"/>
        <v>-7.5495165674510645E-15</v>
      </c>
    </row>
    <row r="74" spans="1:15" x14ac:dyDescent="0.25">
      <c r="A74" s="9">
        <v>0.72999999999999898</v>
      </c>
      <c r="B74" s="5">
        <v>1.4519305456485101</v>
      </c>
      <c r="C74" s="5">
        <v>1.0696076901909599</v>
      </c>
      <c r="D74" s="5">
        <v>1.29059659154998</v>
      </c>
      <c r="E74" s="5">
        <v>1.47933488052858</v>
      </c>
      <c r="F74" s="5">
        <v>1.6584244831541199</v>
      </c>
      <c r="G74" s="5">
        <v>1.7217227627741201</v>
      </c>
      <c r="H74" s="5">
        <v>1.79692572225905</v>
      </c>
      <c r="I74" s="5">
        <v>1.89696882793924</v>
      </c>
      <c r="J74" s="1"/>
      <c r="K74" s="10">
        <f t="shared" si="4"/>
        <v>1.4698314079285431</v>
      </c>
      <c r="L74" s="10">
        <f t="shared" si="5"/>
        <v>1.0712319114051521</v>
      </c>
      <c r="M74" s="8">
        <f t="shared" si="6"/>
        <v>-7.2164496600635175E-16</v>
      </c>
      <c r="N74" s="8">
        <f>B74^2* UnnormalizedLowerIncompleteGamma(2/2 + 1, (A74/B74)^(2)) + C74^2 *UnnormalizedUpperIncompleteGamma(2/3.6 + 1, (A74/C74)^(3.6)) - 1</f>
        <v>-3.7747582837255322E-15</v>
      </c>
      <c r="O74" s="8">
        <f t="shared" si="7"/>
        <v>-3.5527136788005009E-15</v>
      </c>
    </row>
    <row r="75" spans="1:15" x14ac:dyDescent="0.25">
      <c r="A75" s="9">
        <v>0.73999999999999899</v>
      </c>
      <c r="B75" s="5">
        <v>1.43779731662553</v>
      </c>
      <c r="C75" s="5">
        <v>1.07026316900526</v>
      </c>
      <c r="D75" s="5">
        <v>1.2913874971608299</v>
      </c>
      <c r="E75" s="5">
        <v>1.48024144906052</v>
      </c>
      <c r="F75" s="5">
        <v>1.65944080168269</v>
      </c>
      <c r="G75" s="5">
        <v>1.7227778718626801</v>
      </c>
      <c r="H75" s="5">
        <v>1.7980269173538701</v>
      </c>
      <c r="I75" s="5">
        <v>1.8981313316212101</v>
      </c>
      <c r="J75" s="1"/>
      <c r="K75" s="10">
        <f t="shared" si="4"/>
        <v>1.4573742620766192</v>
      </c>
      <c r="L75" s="10">
        <f t="shared" si="5"/>
        <v>1.0719353610323812</v>
      </c>
      <c r="M75" s="8">
        <f t="shared" si="6"/>
        <v>-6.106226635438361E-15</v>
      </c>
      <c r="N75" s="8">
        <f>B75^2* UnnormalizedLowerIncompleteGamma(2/2 + 1, (A75/B75)^(2)) + C75^2 *UnnormalizedUpperIncompleteGamma(2/3.6 + 1, (A75/C75)^(3.6)) - 1</f>
        <v>-1.8429702208777599E-14</v>
      </c>
      <c r="O75" s="8">
        <f t="shared" si="7"/>
        <v>-1.8429702208777599E-14</v>
      </c>
    </row>
    <row r="76" spans="1:15" x14ac:dyDescent="0.25">
      <c r="A76" s="9">
        <v>0.749999999999999</v>
      </c>
      <c r="B76" s="5">
        <v>1.4240883206788799</v>
      </c>
      <c r="C76" s="5">
        <v>1.0709518961725799</v>
      </c>
      <c r="D76" s="5">
        <v>1.2922185204816199</v>
      </c>
      <c r="E76" s="5">
        <v>1.48119400216118</v>
      </c>
      <c r="F76" s="5">
        <v>1.66050867171294</v>
      </c>
      <c r="G76" s="5">
        <v>1.7238865000561601</v>
      </c>
      <c r="H76" s="5">
        <v>1.7991839692093501</v>
      </c>
      <c r="I76" s="5">
        <v>1.8993528018661801</v>
      </c>
      <c r="J76" s="1"/>
      <c r="K76" s="10">
        <f t="shared" si="4"/>
        <v>1.4452976561425959</v>
      </c>
      <c r="L76" s="10">
        <f t="shared" si="5"/>
        <v>1.0726676155512276</v>
      </c>
      <c r="M76" s="8">
        <f t="shared" si="6"/>
        <v>-2.1649348980190553E-15</v>
      </c>
      <c r="N76" s="8">
        <f>B76^2* UnnormalizedLowerIncompleteGamma(2/2 + 1, (A76/B76)^(2)) + C76^2 *UnnormalizedUpperIncompleteGamma(2/3.6 + 1, (A76/C76)^(3.6)) - 1</f>
        <v>-8.8817841970012523E-15</v>
      </c>
      <c r="O76" s="8">
        <f t="shared" si="7"/>
        <v>-8.8817841970012523E-15</v>
      </c>
    </row>
    <row r="77" spans="1:15" x14ac:dyDescent="0.25">
      <c r="A77" s="9">
        <v>0.75999999999999901</v>
      </c>
      <c r="B77" s="5">
        <v>1.4107902340915801</v>
      </c>
      <c r="C77" s="5">
        <v>1.07167464246149</v>
      </c>
      <c r="D77" s="5">
        <v>1.29309059152746</v>
      </c>
      <c r="E77" s="5">
        <v>1.4821936058520999</v>
      </c>
      <c r="F77" s="5">
        <v>1.6616292883199799</v>
      </c>
      <c r="G77" s="5">
        <v>1.7250498880429299</v>
      </c>
      <c r="H77" s="5">
        <v>1.8003981727057501</v>
      </c>
      <c r="I77" s="5">
        <v>1.9006346056463399</v>
      </c>
      <c r="J77" s="1"/>
      <c r="K77" s="10">
        <f t="shared" si="4"/>
        <v>1.4335868716011246</v>
      </c>
      <c r="L77" s="10">
        <f t="shared" si="5"/>
        <v>1.073429222865939</v>
      </c>
      <c r="M77" s="8">
        <f t="shared" si="6"/>
        <v>8.191225475684405E-13</v>
      </c>
      <c r="N77" s="8">
        <f>B77^2* UnnormalizedLowerIncompleteGamma(2/2 + 1, (A77/B77)^(2)) + C77^2 *UnnormalizedUpperIncompleteGamma(2/3.6 + 1, (A77/C77)^(3.6)) - 1</f>
        <v>1.021405182655144E-13</v>
      </c>
      <c r="O77" s="8">
        <f t="shared" si="7"/>
        <v>1.021405182655144E-13</v>
      </c>
    </row>
    <row r="78" spans="1:15" x14ac:dyDescent="0.25">
      <c r="A78" s="9">
        <v>0.76999999999999902</v>
      </c>
      <c r="B78" s="5">
        <v>1.3978903280956201</v>
      </c>
      <c r="C78" s="5">
        <v>1.0724321432884201</v>
      </c>
      <c r="D78" s="5">
        <v>1.2940045976572701</v>
      </c>
      <c r="E78" s="5">
        <v>1.4832412772605901</v>
      </c>
      <c r="F78" s="5">
        <v>1.6628037917654099</v>
      </c>
      <c r="G78" s="5">
        <v>1.7262692196058</v>
      </c>
      <c r="H78" s="5">
        <v>1.80167076333223</v>
      </c>
      <c r="I78" s="5">
        <v>1.90197804723618</v>
      </c>
      <c r="J78" s="1"/>
      <c r="K78" s="10">
        <f t="shared" si="4"/>
        <v>1.4222279126690958</v>
      </c>
      <c r="L78" s="10">
        <f t="shared" si="5"/>
        <v>1.0742207148900289</v>
      </c>
      <c r="M78" s="8">
        <f t="shared" si="6"/>
        <v>6.4881433559094148E-13</v>
      </c>
      <c r="N78" s="8">
        <f>B78^2* UnnormalizedLowerIncompleteGamma(2/2 + 1, (A78/B78)^(2)) + C78^2 *UnnormalizedUpperIncompleteGamma(2/3.6 + 1, (A78/C78)^(3.6)) - 1</f>
        <v>8.0380146982861334E-14</v>
      </c>
      <c r="O78" s="8">
        <f t="shared" si="7"/>
        <v>8.0380146982861334E-14</v>
      </c>
    </row>
    <row r="79" spans="1:15" x14ac:dyDescent="0.25">
      <c r="A79" s="9">
        <v>0.77999999999999903</v>
      </c>
      <c r="B79" s="5">
        <v>1.3853764254424901</v>
      </c>
      <c r="C79" s="5">
        <v>1.07322509610484</v>
      </c>
      <c r="D79" s="5">
        <v>1.2949613804211899</v>
      </c>
      <c r="E79" s="5">
        <v>1.48433798100599</v>
      </c>
      <c r="F79" s="5">
        <v>1.66403326344629</v>
      </c>
      <c r="G79" s="5">
        <v>1.72754561741629</v>
      </c>
      <c r="H79" s="5">
        <v>1.8030029127973399</v>
      </c>
      <c r="I79" s="5">
        <v>1.90338436357868</v>
      </c>
      <c r="J79" s="1"/>
      <c r="K79" s="10">
        <f t="shared" si="4"/>
        <v>1.4112074623798363</v>
      </c>
      <c r="L79" s="10">
        <f t="shared" si="5"/>
        <v>1.0750426064836407</v>
      </c>
      <c r="M79" s="8">
        <f t="shared" si="6"/>
        <v>5.0304205245765843E-13</v>
      </c>
      <c r="N79" s="8">
        <f>B79^2* UnnormalizedLowerIncompleteGamma(2/2 + 1, (A79/B79)^(2)) + C79^2 *UnnormalizedUpperIncompleteGamma(2/3.6 + 1, (A79/C79)^(3.6)) - 1</f>
        <v>5.6399329650957952E-14</v>
      </c>
      <c r="O79" s="8">
        <f t="shared" si="7"/>
        <v>5.6399329650957952E-14</v>
      </c>
    </row>
    <row r="80" spans="1:15" x14ac:dyDescent="0.25">
      <c r="A80" s="9">
        <v>0.78999999999999904</v>
      </c>
      <c r="B80" s="5">
        <v>1.37323686048979</v>
      </c>
      <c r="C80" s="5">
        <v>1.0740541579570999</v>
      </c>
      <c r="D80" s="5">
        <v>1.29596173261623</v>
      </c>
      <c r="E80" s="5">
        <v>1.48548462582485</v>
      </c>
      <c r="F80" s="5">
        <v>1.6653187221115999</v>
      </c>
      <c r="G80" s="5">
        <v>1.7288801391066999</v>
      </c>
      <c r="H80" s="5">
        <v>1.8043957249296101</v>
      </c>
      <c r="I80" s="5">
        <v>1.9048547199575701</v>
      </c>
      <c r="J80" s="1"/>
      <c r="K80" s="10">
        <f t="shared" si="4"/>
        <v>1.4005128418514134</v>
      </c>
      <c r="L80" s="10">
        <f t="shared" si="5"/>
        <v>1.0758953944160727</v>
      </c>
      <c r="M80" s="8">
        <f t="shared" si="6"/>
        <v>3.7686520570900939E-13</v>
      </c>
      <c r="N80" s="8">
        <f>B80^2* UnnormalizedLowerIncompleteGamma(2/2 + 1, (A80/B80)^(2)) + C80^2 *UnnormalizedUpperIncompleteGamma(2/3.6 + 1, (A80/C80)^(3.6)) - 1</f>
        <v>3.1752378504279477E-14</v>
      </c>
      <c r="O80" s="8">
        <f t="shared" si="7"/>
        <v>3.1752378504279477E-14</v>
      </c>
    </row>
    <row r="81" spans="1:15" x14ac:dyDescent="0.25">
      <c r="A81" s="9">
        <v>0.79999999999999905</v>
      </c>
      <c r="B81" s="5">
        <v>1.36146044251681</v>
      </c>
      <c r="C81" s="5">
        <v>1.07491994323752</v>
      </c>
      <c r="D81" s="5">
        <v>1.29700639557273</v>
      </c>
      <c r="E81" s="5">
        <v>1.4866820614604701</v>
      </c>
      <c r="F81" s="5">
        <v>1.6666611203753501</v>
      </c>
      <c r="G81" s="5">
        <v>1.7302737736501299</v>
      </c>
      <c r="H81" s="5">
        <v>1.8058502318994201</v>
      </c>
      <c r="I81" s="5">
        <v>1.90639020600886</v>
      </c>
      <c r="J81" s="1"/>
      <c r="K81" s="10">
        <f t="shared" si="4"/>
        <v>1.3901319724792711</v>
      </c>
      <c r="L81" s="10">
        <f t="shared" si="5"/>
        <v>1.0767795563570426</v>
      </c>
      <c r="M81" s="8">
        <f t="shared" si="6"/>
        <v>2.8410607200157756E-13</v>
      </c>
      <c r="N81" s="8">
        <f>B81^2* UnnormalizedLowerIncompleteGamma(2/2 + 1, (A81/B81)^(2)) + C81^2 *UnnormalizedUpperIncompleteGamma(2/3.6 + 1, (A81/C81)^(3.6)) - 1</f>
        <v>2.1538326677728037E-14</v>
      </c>
      <c r="O81" s="8">
        <f t="shared" si="7"/>
        <v>2.1538326677728037E-14</v>
      </c>
    </row>
    <row r="82" spans="1:15" x14ac:dyDescent="0.25">
      <c r="A82" s="9">
        <v>0.80999999999999905</v>
      </c>
      <c r="B82" s="5">
        <v>1.35003642205484</v>
      </c>
      <c r="C82" s="5">
        <v>1.0758230216440099</v>
      </c>
      <c r="D82" s="5">
        <v>1.29809605669241</v>
      </c>
      <c r="E82" s="5">
        <v>1.487931075841</v>
      </c>
      <c r="F82" s="5">
        <v>1.6680613415529399</v>
      </c>
      <c r="G82" s="5">
        <v>1.73172743807615</v>
      </c>
      <c r="H82" s="5">
        <v>1.8073673907911501</v>
      </c>
      <c r="I82" s="5">
        <v>1.90799183210224</v>
      </c>
      <c r="J82" s="1"/>
      <c r="K82" s="10">
        <f t="shared" si="4"/>
        <v>1.3800533408093045</v>
      </c>
      <c r="L82" s="10">
        <f t="shared" si="5"/>
        <v>1.0776955499002052</v>
      </c>
      <c r="M82" s="8">
        <f t="shared" si="6"/>
        <v>2.106093077713922E-13</v>
      </c>
      <c r="N82" s="8">
        <f>B82^2* UnnormalizedLowerIncompleteGamma(2/2 + 1, (A82/B82)^(2)) + C82^2 *UnnormalizedUpperIncompleteGamma(2/3.6 + 1, (A82/C82)^(3.6)) - 1</f>
        <v>1.532107773982716E-14</v>
      </c>
      <c r="O82" s="8">
        <f t="shared" si="7"/>
        <v>1.532107773982716E-14</v>
      </c>
    </row>
    <row r="83" spans="1:15" x14ac:dyDescent="0.25">
      <c r="A83" s="9">
        <v>0.81999999999999895</v>
      </c>
      <c r="B83" s="5">
        <v>1.3389544600174099</v>
      </c>
      <c r="C83" s="5">
        <v>1.0767639163631499</v>
      </c>
      <c r="D83" s="5">
        <v>1.2992313472560999</v>
      </c>
      <c r="E83" s="5">
        <v>1.4892323925664499</v>
      </c>
      <c r="F83" s="5">
        <v>1.66952019684409</v>
      </c>
      <c r="G83" s="5">
        <v>1.7332419745460701</v>
      </c>
      <c r="H83" s="5">
        <v>1.80894808055082</v>
      </c>
      <c r="I83" s="5">
        <v>1.9096605261186901</v>
      </c>
      <c r="J83" s="1"/>
      <c r="K83" s="10">
        <f t="shared" si="4"/>
        <v>1.3702659658705658</v>
      </c>
      <c r="L83" s="10">
        <f t="shared" si="5"/>
        <v>1.0786438116223691</v>
      </c>
      <c r="M83" s="8">
        <f t="shared" si="6"/>
        <v>1.5587531265737198E-13</v>
      </c>
      <c r="N83" s="8">
        <f>B83^2* UnnormalizedLowerIncompleteGamma(2/2 + 1, (A83/B83)^(2)) + C83^2 *UnnormalizedUpperIncompleteGamma(2/3.6 + 1, (A83/C83)^(3.6)) - 1</f>
        <v>1.8873791418627661E-14</v>
      </c>
      <c r="O83" s="8">
        <f t="shared" si="7"/>
        <v>1.8873791418627661E-14</v>
      </c>
    </row>
    <row r="84" spans="1:15" x14ac:dyDescent="0.25">
      <c r="A84" s="9">
        <v>0.82999999999999896</v>
      </c>
      <c r="B84" s="5">
        <v>1.32820459943418</v>
      </c>
      <c r="C84" s="5">
        <v>1.0777431024891699</v>
      </c>
      <c r="D84" s="5">
        <v>1.30041284051603</v>
      </c>
      <c r="E84" s="5">
        <v>1.4905866687221301</v>
      </c>
      <c r="F84" s="5">
        <v>1.6710384228813999</v>
      </c>
      <c r="G84" s="5">
        <v>1.7348181478081199</v>
      </c>
      <c r="H84" s="5">
        <v>1.8105930993300099</v>
      </c>
      <c r="I84" s="5">
        <v>1.91139713064655</v>
      </c>
      <c r="J84" s="1"/>
      <c r="K84" s="10">
        <f t="shared" si="4"/>
        <v>1.3607593687674633</v>
      </c>
      <c r="L84" s="10">
        <f t="shared" si="5"/>
        <v>1.0796247561817462</v>
      </c>
      <c r="M84" s="8">
        <f t="shared" si="6"/>
        <v>1.103006574965093E-13</v>
      </c>
      <c r="N84" s="8">
        <f>B84^2* UnnormalizedLowerIncompleteGamma(2/2 + 1, (A84/B84)^(2)) + C84^2 *UnnormalizedUpperIncompleteGamma(2/3.6 + 1, (A84/C84)^(3.6)) - 1</f>
        <v>9.3258734068513149E-15</v>
      </c>
      <c r="O84" s="8">
        <f t="shared" si="7"/>
        <v>9.3258734068513149E-15</v>
      </c>
    </row>
    <row r="85" spans="1:15" x14ac:dyDescent="0.25">
      <c r="A85" s="9">
        <v>0.83999999999999897</v>
      </c>
      <c r="B85" s="5">
        <v>1.3177772396054199</v>
      </c>
      <c r="C85" s="5">
        <v>1.0787610056888499</v>
      </c>
      <c r="D85" s="5">
        <v>1.30164105008491</v>
      </c>
      <c r="E85" s="5">
        <v>1.4919944930320099</v>
      </c>
      <c r="F85" s="5">
        <v>1.6726166796603299</v>
      </c>
      <c r="G85" s="5">
        <v>1.73645664304826</v>
      </c>
      <c r="H85" s="5">
        <v>1.81230316224284</v>
      </c>
      <c r="I85" s="5">
        <v>1.9132024006136199</v>
      </c>
      <c r="J85" s="1"/>
      <c r="K85" s="10">
        <f t="shared" si="4"/>
        <v>1.3515235443498084</v>
      </c>
      <c r="L85" s="10">
        <f t="shared" si="5"/>
        <v>1.0806387754584639</v>
      </c>
      <c r="M85" s="8">
        <f t="shared" si="6"/>
        <v>7.6716411001598317E-14</v>
      </c>
      <c r="N85" s="8">
        <f>B85^2* UnnormalizedLowerIncompleteGamma(2/2 + 1, (A85/B85)^(2)) + C85^2 *UnnormalizedUpperIncompleteGamma(2/3.6 + 1, (A85/C85)^(3.6)) - 1</f>
        <v>2.6645352591003757E-15</v>
      </c>
      <c r="O85" s="8">
        <f t="shared" si="7"/>
        <v>2.6645352591003757E-15</v>
      </c>
    </row>
    <row r="86" spans="1:15" x14ac:dyDescent="0.25">
      <c r="A86" s="9">
        <v>0.84999999999999898</v>
      </c>
      <c r="B86" s="5">
        <v>1.3076631125056299</v>
      </c>
      <c r="C86" s="5">
        <v>1.07981800111948</v>
      </c>
      <c r="D86" s="5">
        <v>1.3029164286303101</v>
      </c>
      <c r="E86" s="5">
        <v>1.4934563843623001</v>
      </c>
      <c r="F86" s="5">
        <v>1.6742555488614601</v>
      </c>
      <c r="G86" s="5">
        <v>1.7381580641484999</v>
      </c>
      <c r="H86" s="5">
        <v>1.81407889954824</v>
      </c>
      <c r="I86" s="5">
        <v>1.9150770013682501</v>
      </c>
      <c r="J86" s="1"/>
      <c r="K86" s="10">
        <f t="shared" si="4"/>
        <v>1.3425489347956576</v>
      </c>
      <c r="L86" s="10">
        <f t="shared" si="5"/>
        <v>1.0816862377404231</v>
      </c>
      <c r="M86" s="8">
        <f t="shared" si="6"/>
        <v>4.3631764867768652E-14</v>
      </c>
      <c r="N86" s="8">
        <f>B86^2* UnnormalizedLowerIncompleteGamma(2/2 + 1, (A86/B86)^(2)) + C86^2 *UnnormalizedUpperIncompleteGamma(2/3.6 + 1, (A86/C86)^(3.6)) - 1</f>
        <v>-1.2434497875801753E-14</v>
      </c>
      <c r="O86" s="8">
        <f t="shared" si="7"/>
        <v>-1.2434497875801753E-14</v>
      </c>
    </row>
    <row r="87" spans="1:15" x14ac:dyDescent="0.25">
      <c r="A87" s="9">
        <v>0.85999999999999899</v>
      </c>
      <c r="B87" s="5">
        <v>1.29785326127529</v>
      </c>
      <c r="C87" s="5">
        <v>1.0809144126045001</v>
      </c>
      <c r="D87" s="5">
        <v>1.3042393668799901</v>
      </c>
      <c r="E87" s="5">
        <v>1.49497279058121</v>
      </c>
      <c r="F87" s="5">
        <v>1.6759555325723501</v>
      </c>
      <c r="G87" s="5">
        <v>1.7399229323599401</v>
      </c>
      <c r="H87" s="5">
        <v>1.8159208552649799</v>
      </c>
      <c r="I87" s="5">
        <v>1.9170215072172201</v>
      </c>
      <c r="J87" s="1"/>
      <c r="K87" s="10">
        <f t="shared" si="4"/>
        <v>1.3338264049567976</v>
      </c>
      <c r="L87" s="10">
        <f t="shared" si="5"/>
        <v>1.0827674869574393</v>
      </c>
      <c r="M87" s="8">
        <f t="shared" si="6"/>
        <v>2.325917236589703E-14</v>
      </c>
      <c r="N87" s="8">
        <f>B87^2* UnnormalizedLowerIncompleteGamma(2/2 + 1, (A87/B87)^(2)) + C87^2 *UnnormalizedUpperIncompleteGamma(2/3.6 + 1, (A87/C87)^(3.6)) - 1</f>
        <v>-1.787459069646502E-14</v>
      </c>
      <c r="O87" s="8">
        <f t="shared" si="7"/>
        <v>-1.787459069646502E-14</v>
      </c>
    </row>
    <row r="88" spans="1:15" x14ac:dyDescent="0.25">
      <c r="A88" s="9">
        <v>0.869999999999999</v>
      </c>
      <c r="B88" s="5">
        <v>1.28833902064873</v>
      </c>
      <c r="C88" s="5">
        <v>1.08205051206846</v>
      </c>
      <c r="D88" s="5">
        <v>1.30561019294013</v>
      </c>
      <c r="E88" s="5">
        <v>1.49654408777756</v>
      </c>
      <c r="F88" s="5">
        <v>1.67771705241145</v>
      </c>
      <c r="G88" s="5">
        <v>1.74175168539324</v>
      </c>
      <c r="H88" s="5">
        <v>1.81782948622244</v>
      </c>
      <c r="I88" s="5">
        <v>1.9190364004236999</v>
      </c>
      <c r="J88" s="1"/>
      <c r="K88" s="10">
        <f t="shared" si="4"/>
        <v>1.3253472193301132</v>
      </c>
      <c r="L88" s="10">
        <f t="shared" si="5"/>
        <v>1.0838828419664235</v>
      </c>
      <c r="M88" s="8">
        <f t="shared" si="6"/>
        <v>1.404432126150823E-14</v>
      </c>
      <c r="N88" s="8">
        <f>B88^2* UnnormalizedLowerIncompleteGamma(2/2 + 1, (A88/B88)^(2)) + C88^2 *UnnormalizedUpperIncompleteGamma(2/3.6 + 1, (A88/C88)^(3.6)) - 1</f>
        <v>-1.2878587085651816E-14</v>
      </c>
      <c r="O88" s="8">
        <f t="shared" si="7"/>
        <v>-1.2878587085651816E-14</v>
      </c>
    </row>
    <row r="89" spans="1:15" x14ac:dyDescent="0.25">
      <c r="A89" s="9">
        <v>0.87999999999999901</v>
      </c>
      <c r="B89" s="5">
        <v>1.2791119991742399</v>
      </c>
      <c r="C89" s="5">
        <v>1.08322651923039</v>
      </c>
      <c r="D89" s="5">
        <v>1.3070291719253599</v>
      </c>
      <c r="E89" s="5">
        <v>1.4981705798366001</v>
      </c>
      <c r="F89" s="5">
        <v>1.67954044905265</v>
      </c>
      <c r="G89" s="5">
        <v>1.74364467692503</v>
      </c>
      <c r="H89" s="5">
        <v>1.81980516154546</v>
      </c>
      <c r="I89" s="5">
        <v>1.92112207066342</v>
      </c>
      <c r="J89" s="1"/>
      <c r="K89" s="10">
        <f t="shared" si="4"/>
        <v>1.3171030205301482</v>
      </c>
      <c r="L89" s="10">
        <f t="shared" si="5"/>
        <v>1.0850325958901785</v>
      </c>
      <c r="M89" s="8">
        <f t="shared" si="6"/>
        <v>1.3988810110276972E-14</v>
      </c>
      <c r="N89" s="8">
        <f>B89^2* UnnormalizedLowerIncompleteGamma(2/2 + 1, (A89/B89)^(2)) + C89^2 *UnnormalizedUpperIncompleteGamma(2/3.6 + 1, (A89/C89)^(3.6)) - 1</f>
        <v>-1.4432899320127035E-15</v>
      </c>
      <c r="O89" s="8">
        <f t="shared" si="7"/>
        <v>-1.4432899320127035E-15</v>
      </c>
    </row>
    <row r="90" spans="1:15" x14ac:dyDescent="0.25">
      <c r="A90" s="9">
        <v>0.88999999999999901</v>
      </c>
      <c r="B90" s="5">
        <v>1.2701640630900499</v>
      </c>
      <c r="C90" s="5">
        <v>1.08444260155193</v>
      </c>
      <c r="D90" s="5">
        <v>1.30849650589614</v>
      </c>
      <c r="E90" s="5">
        <v>1.4998524983683601</v>
      </c>
      <c r="F90" s="5">
        <v>1.6814259821449</v>
      </c>
      <c r="G90" s="5">
        <v>1.74560217651446</v>
      </c>
      <c r="H90" s="5">
        <v>1.82184816256723</v>
      </c>
      <c r="I90" s="5">
        <v>1.9232788149326701</v>
      </c>
      <c r="J90" s="1"/>
      <c r="K90" s="10">
        <f t="shared" si="4"/>
        <v>1.3090858091490285</v>
      </c>
      <c r="L90" s="10">
        <f t="shared" si="5"/>
        <v>1.0862170155121744</v>
      </c>
      <c r="M90" s="8">
        <f t="shared" si="6"/>
        <v>1.1324274851176597E-14</v>
      </c>
      <c r="N90" s="8">
        <f>B90^2* UnnormalizedLowerIncompleteGamma(2/2 + 1, (A90/B90)^(2)) + C90^2 *UnnormalizedUpperIncompleteGamma(2/3.6 + 1, (A90/C90)^(3.6)) - 1</f>
        <v>0</v>
      </c>
      <c r="O90" s="8">
        <f t="shared" si="7"/>
        <v>-3.3306690738754696E-16</v>
      </c>
    </row>
    <row r="91" spans="1:15" x14ac:dyDescent="0.25">
      <c r="A91" s="9">
        <v>0.89999999999999902</v>
      </c>
      <c r="B91" s="5">
        <v>1.2614873217266001</v>
      </c>
      <c r="C91" s="5">
        <v>1.0856988744341201</v>
      </c>
      <c r="D91" s="5">
        <v>1.31001233409622</v>
      </c>
      <c r="E91" s="5">
        <v>1.50159000297976</v>
      </c>
      <c r="F91" s="5">
        <v>1.6833738306172501</v>
      </c>
      <c r="G91" s="5">
        <v>1.7476243699199201</v>
      </c>
      <c r="H91" s="5">
        <v>1.82395868315987</v>
      </c>
      <c r="I91" s="5">
        <v>1.9255068378973199</v>
      </c>
      <c r="J91" s="1"/>
      <c r="K91" s="10">
        <f t="shared" si="4"/>
        <v>1.3012879248997447</v>
      </c>
      <c r="L91" s="10">
        <f t="shared" si="5"/>
        <v>1.0874363407294589</v>
      </c>
      <c r="M91" s="8">
        <f t="shared" si="6"/>
        <v>-1.8873791418627661E-15</v>
      </c>
      <c r="N91" s="8">
        <f>B91^2* UnnormalizedLowerIncompleteGamma(2/2 + 1, (A91/B91)^(2)) + C91^2 *UnnormalizedUpperIncompleteGamma(2/3.6 + 1, (A91/C91)^(3.6)) - 1</f>
        <v>-1.0436096431476471E-14</v>
      </c>
      <c r="O91" s="8">
        <f t="shared" si="7"/>
        <v>-1.0436096431476471E-14</v>
      </c>
    </row>
    <row r="92" spans="1:15" x14ac:dyDescent="0.25">
      <c r="A92" s="9">
        <v>0.90999999999999903</v>
      </c>
      <c r="B92" s="5">
        <v>1.2530741143119299</v>
      </c>
      <c r="C92" s="5">
        <v>1.0869954016543699</v>
      </c>
      <c r="D92" s="5">
        <v>1.31157673347989</v>
      </c>
      <c r="E92" s="5">
        <v>1.50338318187895</v>
      </c>
      <c r="F92" s="5">
        <v>1.6853840933564299</v>
      </c>
      <c r="G92" s="5">
        <v>1.7497113598023999</v>
      </c>
      <c r="H92" s="5">
        <v>1.82613683046849</v>
      </c>
      <c r="I92" s="5">
        <v>1.92780625266774</v>
      </c>
      <c r="J92" s="1"/>
      <c r="K92" s="10">
        <f t="shared" si="4"/>
        <v>1.2937020289476489</v>
      </c>
      <c r="L92" s="10">
        <f t="shared" si="5"/>
        <v>1.0886907840656133</v>
      </c>
      <c r="M92" s="8">
        <f t="shared" si="6"/>
        <v>1.8873791418627661E-15</v>
      </c>
      <c r="N92" s="8">
        <f>B92^2* UnnormalizedLowerIncompleteGamma(2/2 + 1, (A92/B92)^(2)) + C92^2 *UnnormalizedUpperIncompleteGamma(2/3.6 + 1, (A92/C92)^(3.6)) - 1</f>
        <v>-2.6645352591003757E-15</v>
      </c>
      <c r="O92" s="8">
        <f t="shared" si="7"/>
        <v>-2.6645352591003757E-15</v>
      </c>
    </row>
    <row r="93" spans="1:15" x14ac:dyDescent="0.25">
      <c r="A93" s="9">
        <v>0.91999999999999904</v>
      </c>
      <c r="B93" s="5">
        <v>1.2449169980632899</v>
      </c>
      <c r="C93" s="5">
        <v>1.0883321960329899</v>
      </c>
      <c r="D93" s="5">
        <v>1.3131897195162401</v>
      </c>
      <c r="E93" s="5">
        <v>1.50523205279726</v>
      </c>
      <c r="F93" s="5">
        <v>1.6874567902403299</v>
      </c>
      <c r="G93" s="5">
        <v>1.7518631667984901</v>
      </c>
      <c r="H93" s="5">
        <v>1.8283826260310601</v>
      </c>
      <c r="I93" s="5">
        <v>1.93017708198102</v>
      </c>
      <c r="J93" s="1"/>
      <c r="K93" s="10">
        <f t="shared" si="4"/>
        <v>1.2863210873430495</v>
      </c>
      <c r="L93" s="10">
        <f t="shared" si="5"/>
        <v>1.0899805302454348</v>
      </c>
      <c r="M93" s="8">
        <f t="shared" si="6"/>
        <v>-3.5527136788005009E-15</v>
      </c>
      <c r="N93" s="8">
        <f>B93^2* UnnormalizedLowerIncompleteGamma(2/2 + 1, (A93/B93)^(2)) + C93^2 *UnnormalizedUpperIncompleteGamma(2/3.6 + 1, (A93/C93)^(3.6)) - 1</f>
        <v>-1.0436096431476471E-14</v>
      </c>
      <c r="O93" s="8">
        <f t="shared" si="7"/>
        <v>-1.0436096431476471E-14</v>
      </c>
    </row>
    <row r="94" spans="1:15" x14ac:dyDescent="0.25">
      <c r="A94" s="9">
        <v>0.92999999999999905</v>
      </c>
      <c r="B94" s="5">
        <v>1.23700873745375</v>
      </c>
      <c r="C94" s="5">
        <v>1.0897092203169301</v>
      </c>
      <c r="D94" s="5">
        <v>1.3148512472554601</v>
      </c>
      <c r="E94" s="5">
        <v>1.5071365642113499</v>
      </c>
      <c r="F94" s="5">
        <v>1.6895918635081499</v>
      </c>
      <c r="G94" s="5">
        <v>1.75407973094279</v>
      </c>
      <c r="H94" s="5">
        <v>1.8306960072629599</v>
      </c>
      <c r="I94" s="5">
        <v>1.93261925976817</v>
      </c>
      <c r="J94" s="1"/>
      <c r="K94" s="10">
        <f t="shared" si="4"/>
        <v>1.2791383554750511</v>
      </c>
      <c r="L94" s="10">
        <f t="shared" si="5"/>
        <v>1.091305735832766</v>
      </c>
      <c r="M94" s="8">
        <f t="shared" si="6"/>
        <v>-9.9920072216264089E-16</v>
      </c>
      <c r="N94" s="8">
        <f>B94^2* UnnormalizedLowerIncompleteGamma(2/2 + 1, (A94/B94)^(2)) + C94^2 *UnnormalizedUpperIncompleteGamma(2/3.6 + 1, (A94/C94)^(3.6)) - 1</f>
        <v>-6.8833827526759706E-15</v>
      </c>
      <c r="O94" s="8">
        <f t="shared" si="7"/>
        <v>-6.8833827526759706E-15</v>
      </c>
    </row>
    <row r="95" spans="1:15" x14ac:dyDescent="0.25">
      <c r="A95" s="9">
        <v>0.93999999999999895</v>
      </c>
      <c r="B95" s="5">
        <v>1.2293422945485399</v>
      </c>
      <c r="C95" s="5">
        <v>1.0911263882664199</v>
      </c>
      <c r="D95" s="5">
        <v>1.3165612126400099</v>
      </c>
      <c r="E95" s="5">
        <v>1.50909659684619</v>
      </c>
      <c r="F95" s="5">
        <v>1.6917891794453199</v>
      </c>
      <c r="G95" s="5">
        <v>1.75636091341717</v>
      </c>
      <c r="H95" s="5">
        <v>1.8330768292826201</v>
      </c>
      <c r="I95" s="5">
        <v>1.9351326330813901</v>
      </c>
      <c r="J95" s="1"/>
      <c r="K95" s="10">
        <f t="shared" si="4"/>
        <v>1.272147363473374</v>
      </c>
      <c r="L95" s="10">
        <f t="shared" si="5"/>
        <v>1.0926665289326305</v>
      </c>
      <c r="M95" s="8">
        <f t="shared" si="6"/>
        <v>-1.5099033134902129E-14</v>
      </c>
      <c r="N95" s="8">
        <f>B95^2* UnnormalizedLowerIncompleteGamma(2/2 + 1, (A95/B95)^(2)) + C95^2 *UnnormalizedUpperIncompleteGamma(2/3.6 + 1, (A95/C95)^(3.6)) - 1</f>
        <v>-2.120525977034049E-14</v>
      </c>
      <c r="O95" s="8">
        <f t="shared" si="7"/>
        <v>-2.120525977034049E-14</v>
      </c>
    </row>
    <row r="96" spans="1:15" x14ac:dyDescent="0.25">
      <c r="A96" s="9">
        <v>0.94999999999999896</v>
      </c>
      <c r="B96" s="5">
        <v>1.2219108203114299</v>
      </c>
      <c r="C96" s="5">
        <v>1.09258356592922</v>
      </c>
      <c r="D96" s="5">
        <v>1.3183194540420999</v>
      </c>
      <c r="E96" s="5">
        <v>1.5111119654373699</v>
      </c>
      <c r="F96" s="5">
        <v>1.6940485303591599</v>
      </c>
      <c r="G96" s="5">
        <v>1.75870649860176</v>
      </c>
      <c r="H96" s="5">
        <v>1.83552486705216</v>
      </c>
      <c r="I96" s="5">
        <v>1.9377169643539101</v>
      </c>
      <c r="J96" s="1"/>
      <c r="K96" s="10">
        <f t="shared" si="4"/>
        <v>1.2653419024908759</v>
      </c>
      <c r="L96" s="10">
        <f t="shared" si="5"/>
        <v>1.0940630089585712</v>
      </c>
      <c r="M96" s="8">
        <f t="shared" si="6"/>
        <v>-2.886579864025407E-15</v>
      </c>
      <c r="N96" s="8">
        <f>B96^2* UnnormalizedLowerIncompleteGamma(2/2 + 1, (A96/B96)^(2)) + C96^2 *UnnormalizedUpperIncompleteGamma(2/3.6 + 1, (A96/C96)^(3.6)) - 1</f>
        <v>-7.1054273576010019E-15</v>
      </c>
      <c r="O96" s="8">
        <f t="shared" si="7"/>
        <v>-7.1054273576010019E-15</v>
      </c>
    </row>
    <row r="97" spans="1:15" x14ac:dyDescent="0.25">
      <c r="A97" s="9">
        <v>0.95999999999999897</v>
      </c>
      <c r="B97" s="5">
        <v>1.21470764678715</v>
      </c>
      <c r="C97" s="5">
        <v>1.09408057308568</v>
      </c>
      <c r="D97" s="5">
        <v>1.3201257540073701</v>
      </c>
      <c r="E97" s="5">
        <v>1.5131824207297799</v>
      </c>
      <c r="F97" s="5">
        <v>1.6963696368195</v>
      </c>
      <c r="G97" s="5">
        <v>1.7611161964012001</v>
      </c>
      <c r="H97" s="5">
        <v>1.83803981780515</v>
      </c>
      <c r="I97" s="5">
        <v>1.94037193396291</v>
      </c>
      <c r="J97" s="1"/>
      <c r="K97" s="10">
        <f t="shared" si="4"/>
        <v>1.2587160118049243</v>
      </c>
      <c r="L97" s="10">
        <f t="shared" si="5"/>
        <v>1.0954952464658141</v>
      </c>
      <c r="M97" s="8">
        <f t="shared" si="6"/>
        <v>-5.8841820305133297E-15</v>
      </c>
      <c r="N97" s="8">
        <f>B97^2* UnnormalizedLowerIncompleteGamma(2/2 + 1, (A97/B97)^(2)) + C97^2 *UnnormalizedUpperIncompleteGamma(2/3.6 + 1, (A97/C97)^(3.6)) - 1</f>
        <v>-8.992806499463768E-15</v>
      </c>
      <c r="O97" s="8">
        <f t="shared" si="7"/>
        <v>-8.992806499463768E-15</v>
      </c>
    </row>
    <row r="98" spans="1:15" x14ac:dyDescent="0.25">
      <c r="A98" s="9">
        <v>0.96999999999999897</v>
      </c>
      <c r="B98" s="5">
        <v>1.20772628007128</v>
      </c>
      <c r="C98" s="5">
        <v>1.0956171848474501</v>
      </c>
      <c r="D98" s="5">
        <v>1.3219798411838899</v>
      </c>
      <c r="E98" s="5">
        <v>1.5153076516886399</v>
      </c>
      <c r="F98" s="5">
        <v>1.6987521501374301</v>
      </c>
      <c r="G98" s="5">
        <v>1.7635896448179</v>
      </c>
      <c r="H98" s="5">
        <v>1.84062130373236</v>
      </c>
      <c r="I98" s="5">
        <v>1.9430971430647801</v>
      </c>
      <c r="J98" s="1"/>
      <c r="K98" s="10">
        <f t="shared" si="4"/>
        <v>1.252263966680718</v>
      </c>
      <c r="L98" s="10">
        <f t="shared" si="5"/>
        <v>1.0969632830505978</v>
      </c>
      <c r="M98" s="8">
        <f t="shared" si="6"/>
        <v>-1.8984813721090177E-14</v>
      </c>
      <c r="N98" s="8">
        <f>B98^2* UnnormalizedLowerIncompleteGamma(2/2 + 1, (A98/B98)^(2)) + C98^2 *UnnormalizedUpperIncompleteGamma(2/3.6 + 1, (A98/C98)^(3.6)) - 1</f>
        <v>-2.3869795029440866E-14</v>
      </c>
      <c r="O98" s="8">
        <f t="shared" si="7"/>
        <v>-2.3869795029440866E-14</v>
      </c>
    </row>
    <row r="99" spans="1:15" x14ac:dyDescent="0.25">
      <c r="A99" s="9">
        <v>0.97999999999999898</v>
      </c>
      <c r="B99" s="5">
        <v>1.2009603939847699</v>
      </c>
      <c r="C99" s="5">
        <v>1.09719313339173</v>
      </c>
      <c r="D99" s="5">
        <v>1.32388139241464</v>
      </c>
      <c r="E99" s="5">
        <v>1.51748728789811</v>
      </c>
      <c r="F99" s="5">
        <v>1.70119565505422</v>
      </c>
      <c r="G99" s="5">
        <v>1.76612641274368</v>
      </c>
      <c r="H99" s="5">
        <v>1.8432688748952699</v>
      </c>
      <c r="I99" s="5">
        <v>1.94589211667085</v>
      </c>
      <c r="J99" s="1"/>
      <c r="K99" s="10">
        <f t="shared" si="4"/>
        <v>1.2459802669441555</v>
      </c>
      <c r="L99" s="10">
        <f t="shared" si="5"/>
        <v>1.098467131315747</v>
      </c>
      <c r="M99" s="8">
        <f t="shared" si="6"/>
        <v>-1.4432899320127035E-14</v>
      </c>
      <c r="N99" s="8">
        <f>B99^2* UnnormalizedLowerIncompleteGamma(2/2 + 1, (A99/B99)^(2)) + C99^2 *UnnormalizedUpperIncompleteGamma(2/3.6 + 1, (A99/C99)^(3.6)) - 1</f>
        <v>-2.1427304375265521E-14</v>
      </c>
      <c r="O99" s="8">
        <f t="shared" si="7"/>
        <v>-2.1316282072803006E-14</v>
      </c>
    </row>
    <row r="100" spans="1:15" x14ac:dyDescent="0.25">
      <c r="A100" s="9">
        <v>0.98999999999999899</v>
      </c>
      <c r="B100" s="5">
        <v>1.1944038243756101</v>
      </c>
      <c r="C100" s="5">
        <v>1.0988081098128899</v>
      </c>
      <c r="D100" s="5">
        <v>1.32583003497181</v>
      </c>
      <c r="E100" s="5">
        <v>1.51972090212224</v>
      </c>
      <c r="F100" s="5">
        <v>1.7036996726123701</v>
      </c>
      <c r="G100" s="5">
        <v>1.76872600294031</v>
      </c>
      <c r="H100" s="5">
        <v>1.84598201233681</v>
      </c>
      <c r="I100" s="5">
        <v>1.94875630693135</v>
      </c>
      <c r="J100" s="1"/>
      <c r="K100" s="10">
        <f t="shared" si="4"/>
        <v>1.2398596262159511</v>
      </c>
      <c r="L100" s="10">
        <f t="shared" si="5"/>
        <v>1.1000067749022788</v>
      </c>
      <c r="M100" s="8">
        <f t="shared" si="6"/>
        <v>-1.27675647831893E-14</v>
      </c>
      <c r="N100" s="8">
        <f>B100^2* UnnormalizedLowerIncompleteGamma(2/2 + 1, (A100/B100)^(2)) + C100^2 *UnnormalizedUpperIncompleteGamma(2/3.6 + 1, (A100/C100)^(3.6)) - 1</f>
        <v>-2.2093438190040615E-14</v>
      </c>
      <c r="O100" s="8">
        <f t="shared" si="7"/>
        <v>-2.2093438190040615E-14</v>
      </c>
    </row>
    <row r="101" spans="1:15" x14ac:dyDescent="0.25">
      <c r="A101" s="9">
        <v>0.999999999999999</v>
      </c>
      <c r="B101" s="5">
        <v>1.18805056397567</v>
      </c>
      <c r="C101" s="5">
        <v>1.10046176607332</v>
      </c>
      <c r="D101" s="5">
        <v>1.32782534891063</v>
      </c>
      <c r="E101" s="5">
        <v>1.52200801300308</v>
      </c>
      <c r="F101" s="5">
        <v>1.7062636631802901</v>
      </c>
      <c r="G101" s="5">
        <v>1.77138785517968</v>
      </c>
      <c r="H101" s="5">
        <v>1.8487601313587601</v>
      </c>
      <c r="I101" s="5">
        <v>1.9516890965951901</v>
      </c>
      <c r="J101" s="1"/>
      <c r="K101" s="10">
        <f t="shared" si="4"/>
        <v>1.2338969617624453</v>
      </c>
      <c r="L101" s="10">
        <f t="shared" si="5"/>
        <v>1.1015821685865659</v>
      </c>
      <c r="M101" s="8">
        <f t="shared" si="6"/>
        <v>-1.8429702208777599E-14</v>
      </c>
      <c r="N101" s="8">
        <f>B101^2* UnnormalizedLowerIncompleteGamma(2/2 + 1, (A101/B101)^(2)) + C101^2 *UnnormalizedUpperIncompleteGamma(2/3.6 + 1, (A101/C101)^(3.6)) - 1</f>
        <v>-2.4313884239290928E-14</v>
      </c>
      <c r="O101" s="8">
        <f t="shared" si="7"/>
        <v>-2.4313884239290928E-14</v>
      </c>
    </row>
    <row r="102" spans="1:15" x14ac:dyDescent="0.25">
      <c r="A102" s="9">
        <v>1.00999999999999</v>
      </c>
      <c r="B102" s="5">
        <v>1.1818947577461001</v>
      </c>
      <c r="C102" s="5">
        <v>1.1021537170353899</v>
      </c>
      <c r="D102" s="5">
        <v>1.3298668695211699</v>
      </c>
      <c r="E102" s="5">
        <v>1.5243480878709801</v>
      </c>
      <c r="F102" s="5">
        <v>1.70888702960288</v>
      </c>
      <c r="G102" s="5">
        <v>1.7741113495146701</v>
      </c>
      <c r="H102" s="5">
        <v>1.8516025849353701</v>
      </c>
      <c r="I102" s="5">
        <v>1.95468980261375</v>
      </c>
      <c r="J102" s="1"/>
      <c r="K102" s="10">
        <f t="shared" si="4"/>
        <v>1.2280873849219778</v>
      </c>
      <c r="L102" s="10">
        <f t="shared" si="5"/>
        <v>1.1031932384423095</v>
      </c>
      <c r="M102" s="8">
        <f t="shared" si="6"/>
        <v>-1.0325074129013956E-14</v>
      </c>
      <c r="N102" s="8">
        <f>B102^2* UnnormalizedLowerIncompleteGamma(2/2 + 1, (A102/B102)^(2)) + C102^2 *UnnormalizedUpperIncompleteGamma(2/3.6 + 1, (A102/C102)^(3.6)) - 1</f>
        <v>-1.9317880628477724E-14</v>
      </c>
      <c r="O102" s="8">
        <f t="shared" si="7"/>
        <v>-1.9317880628477724E-14</v>
      </c>
    </row>
    <row r="103" spans="1:15" x14ac:dyDescent="0.25">
      <c r="A103" s="9">
        <v>1.01999999999999</v>
      </c>
      <c r="B103" s="5">
        <v>1.17593069865003</v>
      </c>
      <c r="C103" s="5">
        <v>1.10388354255697</v>
      </c>
      <c r="D103" s="5">
        <v>1.3319540898568101</v>
      </c>
      <c r="E103" s="5">
        <v>1.52674054564289</v>
      </c>
      <c r="F103" s="5">
        <v>1.71156912045065</v>
      </c>
      <c r="G103" s="5">
        <v>1.7768958096521901</v>
      </c>
      <c r="H103" s="5">
        <v>1.8545086672338</v>
      </c>
      <c r="I103" s="5">
        <v>1.95775767985724</v>
      </c>
      <c r="J103" s="1"/>
      <c r="K103" s="10">
        <f t="shared" si="4"/>
        <v>1.2224261920687822</v>
      </c>
      <c r="L103" s="10">
        <f t="shared" si="5"/>
        <v>1.1048398820663228</v>
      </c>
      <c r="M103" s="8">
        <f t="shared" si="6"/>
        <v>9.4368957093138306E-15</v>
      </c>
      <c r="N103" s="8">
        <f>B103^2* UnnormalizedLowerIncompleteGamma(2/2 + 1, (A103/B103)^(2)) + C103^2 *UnnormalizedUpperIncompleteGamma(2/3.6 + 1, (A103/C103)^(3.6)) - 1</f>
        <v>-5.440092820663267E-15</v>
      </c>
      <c r="O103" s="8">
        <f t="shared" si="7"/>
        <v>-5.440092820663267E-15</v>
      </c>
    </row>
    <row r="104" spans="1:15" x14ac:dyDescent="0.25">
      <c r="A104" s="9">
        <v>1.02999999999999</v>
      </c>
      <c r="B104" s="5">
        <v>1.1701528237963801</v>
      </c>
      <c r="C104" s="5">
        <v>1.10565078963348</v>
      </c>
      <c r="D104" s="5">
        <v>1.33408646331886</v>
      </c>
      <c r="E104" s="5">
        <v>1.52918475978493</v>
      </c>
      <c r="F104" s="5">
        <v>1.71430923334096</v>
      </c>
      <c r="G104" s="5">
        <v>1.7797405064012699</v>
      </c>
      <c r="H104" s="5">
        <v>1.85747761721284</v>
      </c>
      <c r="I104" s="5">
        <v>1.96089192491377</v>
      </c>
      <c r="J104" s="1"/>
      <c r="K104" s="10">
        <f t="shared" si="4"/>
        <v>1.2169088560793284</v>
      </c>
      <c r="L104" s="10">
        <f t="shared" si="5"/>
        <v>1.106521968866836</v>
      </c>
      <c r="M104" s="8">
        <f t="shared" si="6"/>
        <v>1.8429702208777599E-14</v>
      </c>
      <c r="N104" s="8">
        <f>B104^2* UnnormalizedLowerIncompleteGamma(2/2 + 1, (A104/B104)^(2)) + C104^2 *UnnormalizedUpperIncompleteGamma(2/3.6 + 1, (A104/C104)^(3.6)) - 1</f>
        <v>-7.2164496600635175E-15</v>
      </c>
      <c r="O104" s="8">
        <f t="shared" si="7"/>
        <v>-7.2164496600635175E-15</v>
      </c>
    </row>
    <row r="105" spans="1:15" x14ac:dyDescent="0.25">
      <c r="A105" s="9">
        <v>1.03999999999999</v>
      </c>
      <c r="B105" s="5">
        <v>1.16455571090334</v>
      </c>
      <c r="C105" s="5">
        <v>1.10745497457028</v>
      </c>
      <c r="D105" s="5">
        <v>1.3362634062777801</v>
      </c>
      <c r="E105" s="5">
        <v>1.5316800613168899</v>
      </c>
      <c r="F105" s="5">
        <v>1.71710661830627</v>
      </c>
      <c r="G105" s="5">
        <v>1.7826446611698199</v>
      </c>
      <c r="H105" s="5">
        <v>1.8605086222723399</v>
      </c>
      <c r="I105" s="5">
        <v>1.9640916799420201</v>
      </c>
      <c r="J105" s="1"/>
      <c r="K105" s="10">
        <f t="shared" si="4"/>
        <v>1.2115310182684778</v>
      </c>
      <c r="L105" s="10">
        <f t="shared" si="5"/>
        <v>1.1082393404128514</v>
      </c>
      <c r="M105" s="8">
        <f t="shared" si="6"/>
        <v>3.8924419243357988E-13</v>
      </c>
      <c r="N105" s="8">
        <f>B105^2* UnnormalizedLowerIncompleteGamma(2/2 + 1, (A105/B105)^(2)) + C105^2 *UnnormalizedUpperIncompleteGamma(2/3.6 + 1, (A105/C105)^(3.6)) - 1</f>
        <v>-2.2204460492503131E-15</v>
      </c>
      <c r="O105" s="8">
        <f t="shared" si="7"/>
        <v>-2.2204460492503131E-15</v>
      </c>
    </row>
    <row r="106" spans="1:15" x14ac:dyDescent="0.25">
      <c r="A106" s="9">
        <v>1.0499999999999901</v>
      </c>
      <c r="B106" s="5">
        <v>1.1591340750374799</v>
      </c>
      <c r="C106" s="5">
        <v>1.10929558517013</v>
      </c>
      <c r="D106" s="5">
        <v>1.33848430071254</v>
      </c>
      <c r="E106" s="5">
        <v>1.5342257418377001</v>
      </c>
      <c r="F106" s="5">
        <v>1.71996048118584</v>
      </c>
      <c r="G106" s="5">
        <v>1.7856074494857801</v>
      </c>
      <c r="H106" s="5">
        <v>1.8636008219282101</v>
      </c>
      <c r="I106" s="5">
        <v>1.96735603655081</v>
      </c>
      <c r="J106" s="1"/>
      <c r="K106" s="10">
        <f t="shared" si="4"/>
        <v>1.2062884807653966</v>
      </c>
      <c r="L106" s="10">
        <f t="shared" si="5"/>
        <v>1.1099918108427798</v>
      </c>
      <c r="M106" s="8">
        <f t="shared" si="6"/>
        <v>1.3988810110276972E-14</v>
      </c>
      <c r="N106" s="8">
        <f>B106^2* UnnormalizedLowerIncompleteGamma(2/2 + 1, (A106/B106)^(2)) + C106^2 *UnnormalizedUpperIncompleteGamma(2/3.6 + 1, (A106/C106)^(3.6)) - 1</f>
        <v>3.3306690738754696E-15</v>
      </c>
      <c r="O106" s="8">
        <f t="shared" si="7"/>
        <v>3.3306690738754696E-15</v>
      </c>
    </row>
    <row r="107" spans="1:15" x14ac:dyDescent="0.25">
      <c r="A107" s="9">
        <v>1.0599999999999901</v>
      </c>
      <c r="B107" s="5">
        <v>1.1538827655802</v>
      </c>
      <c r="C107" s="5">
        <v>1.11117208292092</v>
      </c>
      <c r="D107" s="5">
        <v>1.3407484968504699</v>
      </c>
      <c r="E107" s="5">
        <v>1.53682105655115</v>
      </c>
      <c r="F107" s="5">
        <v>1.7228699870177799</v>
      </c>
      <c r="G107" s="5">
        <v>1.78862800451867</v>
      </c>
      <c r="H107" s="5">
        <v>1.8667533114877799</v>
      </c>
      <c r="I107" s="5">
        <v>1.9706840396790499</v>
      </c>
      <c r="J107" s="1"/>
      <c r="K107" s="10">
        <f t="shared" si="4"/>
        <v>1.201177199301267</v>
      </c>
      <c r="L107" s="10">
        <f t="shared" si="5"/>
        <v>1.1117791673304049</v>
      </c>
      <c r="M107" s="8">
        <f t="shared" si="6"/>
        <v>2.1427304375265521E-14</v>
      </c>
      <c r="N107" s="8">
        <f>B107^2* UnnormalizedLowerIncompleteGamma(2/2 + 1, (A107/B107)^(2)) + C107^2 *UnnormalizedUpperIncompleteGamma(2/3.6 + 1, (A107/C107)^(3.6)) - 1</f>
        <v>2.6645352591003757E-15</v>
      </c>
      <c r="O107" s="8">
        <f t="shared" si="7"/>
        <v>2.6645352591003757E-15</v>
      </c>
    </row>
    <row r="108" spans="1:15" x14ac:dyDescent="0.25">
      <c r="A108" s="9">
        <v>1.0699999999999901</v>
      </c>
      <c r="B108" s="5">
        <v>1.14879676339564</v>
      </c>
      <c r="C108" s="5">
        <v>1.1130839051713299</v>
      </c>
      <c r="D108" s="5">
        <v>1.34305531579227</v>
      </c>
      <c r="E108" s="5">
        <v>1.53946522727501</v>
      </c>
      <c r="F108" s="5">
        <v>1.72583426341239</v>
      </c>
      <c r="G108" s="5">
        <v>1.79170542058169</v>
      </c>
      <c r="H108" s="5">
        <v>1.8699651457048101</v>
      </c>
      <c r="I108" s="5">
        <v>1.9740746914543299</v>
      </c>
      <c r="J108" s="1"/>
      <c r="K108" s="10">
        <f t="shared" si="4"/>
        <v>1.1961932763828917</v>
      </c>
      <c r="L108" s="10">
        <f t="shared" si="5"/>
        <v>1.1136011706060061</v>
      </c>
      <c r="M108" s="8">
        <f t="shared" si="6"/>
        <v>2.4424906541753444E-15</v>
      </c>
      <c r="N108" s="8">
        <f>B108^2* UnnormalizedLowerIncompleteGamma(2/2 + 1, (A108/B108)^(2)) + C108^2 *UnnormalizedUpperIncompleteGamma(2/3.6 + 1, (A108/C108)^(3.6)) - 1</f>
        <v>-1.4099832412739488E-14</v>
      </c>
      <c r="O108" s="8">
        <f t="shared" si="7"/>
        <v>-1.3988810110276972E-14</v>
      </c>
    </row>
    <row r="109" spans="1:15" x14ac:dyDescent="0.25">
      <c r="A109" s="9">
        <v>1.0799999999999901</v>
      </c>
      <c r="B109" s="5">
        <v>1.1438711781556401</v>
      </c>
      <c r="C109" s="5">
        <v>1.11503046728136</v>
      </c>
      <c r="D109" s="5">
        <v>1.3454040521069801</v>
      </c>
      <c r="E109" s="5">
        <v>1.54215744541525</v>
      </c>
      <c r="F109" s="5">
        <v>1.72885240388656</v>
      </c>
      <c r="G109" s="5">
        <v>1.7948387565933199</v>
      </c>
      <c r="H109" s="5">
        <v>1.8732353423924</v>
      </c>
      <c r="I109" s="5">
        <v>1.9775269550068799</v>
      </c>
      <c r="J109" s="1"/>
      <c r="K109" s="10">
        <f t="shared" si="4"/>
        <v>1.1913329548281433</v>
      </c>
      <c r="L109" s="10">
        <f t="shared" si="5"/>
        <v>1.1154575555302715</v>
      </c>
      <c r="M109" s="8">
        <f t="shared" si="6"/>
        <v>2.1094237467877974E-15</v>
      </c>
      <c r="N109" s="8">
        <f>B109^2* UnnormalizedLowerIncompleteGamma(2/2 + 1, (A109/B109)^(2)) + C109^2 *UnnormalizedUpperIncompleteGamma(2/3.6 + 1, (A109/C109)^(3.6)) - 1</f>
        <v>-1.0880185641326534E-14</v>
      </c>
      <c r="O109" s="8">
        <f t="shared" si="7"/>
        <v>-1.0880185641326534E-14</v>
      </c>
    </row>
    <row r="110" spans="1:15" x14ac:dyDescent="0.25">
      <c r="A110" s="9">
        <v>1.0899999999999901</v>
      </c>
      <c r="B110" s="5">
        <v>1.13910124579977</v>
      </c>
      <c r="C110" s="5">
        <v>1.11701116473732</v>
      </c>
      <c r="D110" s="5">
        <v>1.34779397638389</v>
      </c>
      <c r="E110" s="5">
        <v>1.5448968748913601</v>
      </c>
      <c r="F110" s="5">
        <v>1.7319234711431</v>
      </c>
      <c r="G110" s="5">
        <v>1.79802703948187</v>
      </c>
      <c r="H110" s="5">
        <v>1.8765628859761601</v>
      </c>
      <c r="I110" s="5">
        <v>1.9810397582206101</v>
      </c>
      <c r="J110" s="1"/>
      <c r="K110" s="10">
        <f t="shared" si="4"/>
        <v>1.1865926116409149</v>
      </c>
      <c r="L110" s="10">
        <f t="shared" si="5"/>
        <v>1.1173480317184625</v>
      </c>
      <c r="M110" s="8">
        <f t="shared" si="6"/>
        <v>0</v>
      </c>
      <c r="N110" s="8">
        <f>B110^2* UnnormalizedLowerIncompleteGamma(2/2 + 1, (A110/B110)^(2)) + C110^2 *UnnormalizedUpperIncompleteGamma(2/3.6 + 1, (A110/C110)^(3.6)) - 1</f>
        <v>-1.1990408665951691E-14</v>
      </c>
      <c r="O110" s="8">
        <f t="shared" si="7"/>
        <v>-1.1990408665951691E-14</v>
      </c>
    </row>
    <row r="111" spans="1:15" x14ac:dyDescent="0.25">
      <c r="A111" s="9">
        <v>1.0999999999999901</v>
      </c>
      <c r="B111" s="5">
        <v>1.1344823261027599</v>
      </c>
      <c r="C111" s="5">
        <v>1.1190253752214601</v>
      </c>
      <c r="D111" s="5">
        <v>1.35022433772977</v>
      </c>
      <c r="E111" s="5">
        <v>1.54768265499863</v>
      </c>
      <c r="F111" s="5">
        <v>1.73504650027964</v>
      </c>
      <c r="G111" s="5">
        <v>1.80126926751684</v>
      </c>
      <c r="H111" s="5">
        <v>1.87994673097109</v>
      </c>
      <c r="I111" s="5">
        <v>1.9846119974036001</v>
      </c>
      <c r="J111" s="1"/>
      <c r="K111" s="10">
        <f t="shared" si="4"/>
        <v>1.1819687522048041</v>
      </c>
      <c r="L111" s="10">
        <f t="shared" si="5"/>
        <v>1.1192722842121261</v>
      </c>
      <c r="M111" s="8">
        <f t="shared" si="6"/>
        <v>-4.3298697960381105E-15</v>
      </c>
      <c r="N111" s="8">
        <f>B111^2* UnnormalizedLowerIncompleteGamma(2/2 + 1, (A111/B111)^(2)) + C111^2 *UnnormalizedUpperIncompleteGamma(2/3.6 + 1, (A111/C111)^(3.6)) - 1</f>
        <v>-1.8207657603852567E-14</v>
      </c>
      <c r="O111" s="8">
        <f t="shared" si="7"/>
        <v>-1.8207657603852567E-14</v>
      </c>
    </row>
    <row r="112" spans="1:15" x14ac:dyDescent="0.25">
      <c r="A112" s="9">
        <v>1.1099999999999901</v>
      </c>
      <c r="B112" s="5">
        <v>1.1300099003278401</v>
      </c>
      <c r="C112" s="5">
        <v>1.1210724606276099</v>
      </c>
      <c r="D112" s="5">
        <v>1.3526943662009701</v>
      </c>
      <c r="E112" s="5">
        <v>1.55051390319599</v>
      </c>
      <c r="F112" s="5">
        <v>1.7382205019138799</v>
      </c>
      <c r="G112" s="5">
        <v>1.8045644135534999</v>
      </c>
      <c r="H112" s="5">
        <v>1.88338580536791</v>
      </c>
      <c r="I112" s="5">
        <v>1.9882425408628599</v>
      </c>
      <c r="J112" s="1"/>
      <c r="K112" s="10">
        <f t="shared" si="4"/>
        <v>1.1774580047762107</v>
      </c>
      <c r="L112" s="10">
        <f t="shared" si="5"/>
        <v>1.1212299741955096</v>
      </c>
      <c r="M112" s="8">
        <f t="shared" si="6"/>
        <v>3.6637359812630166E-15</v>
      </c>
      <c r="N112" s="8">
        <f>B112^2* UnnormalizedLowerIncompleteGamma(2/2 + 1, (A112/B112)^(2)) + C112^2 *UnnormalizedUpperIncompleteGamma(2/3.6 + 1, (A112/C112)^(3.6)) - 1</f>
        <v>-1.4210854715202004E-14</v>
      </c>
      <c r="O112" s="8">
        <f t="shared" si="7"/>
        <v>-1.4210854715202004E-14</v>
      </c>
    </row>
    <row r="113" spans="1:15" x14ac:dyDescent="0.25">
      <c r="A113" s="9">
        <v>1.1199999999999899</v>
      </c>
      <c r="B113" s="5">
        <v>1.12567956894733</v>
      </c>
      <c r="C113" s="5">
        <v>1.12315176901546</v>
      </c>
      <c r="D113" s="5">
        <v>1.35520327516147</v>
      </c>
      <c r="E113" s="5">
        <v>1.55338971780888</v>
      </c>
      <c r="F113" s="5">
        <v>1.74144446521374</v>
      </c>
      <c r="G113" s="5">
        <v>1.80791142817859</v>
      </c>
      <c r="H113" s="5">
        <v>1.88687901391614</v>
      </c>
      <c r="I113" s="5">
        <v>1.9919302323703001</v>
      </c>
      <c r="J113" s="1"/>
      <c r="K113" s="10">
        <f t="shared" si="4"/>
        <v>1.1730571152588598</v>
      </c>
      <c r="L113" s="10">
        <f t="shared" si="5"/>
        <v>1.1232207397537042</v>
      </c>
      <c r="M113" s="8">
        <f t="shared" si="6"/>
        <v>1.532107773982716E-14</v>
      </c>
      <c r="N113" s="8">
        <f>B113^2* UnnormalizedLowerIncompleteGamma(2/2 + 1, (A113/B113)^(2)) + C113^2 *UnnormalizedUpperIncompleteGamma(2/3.6 + 1, (A113/C113)^(3.6)) - 1</f>
        <v>-1.9984014443252818E-15</v>
      </c>
      <c r="O113" s="8">
        <f t="shared" si="7"/>
        <v>-1.9984014443252818E-15</v>
      </c>
    </row>
    <row r="114" spans="1:15" x14ac:dyDescent="0.25">
      <c r="A114" s="9">
        <v>1.1299999999999899</v>
      </c>
      <c r="B114" s="5">
        <v>1.12148704941469</v>
      </c>
      <c r="C114" s="5">
        <v>1.12526263649724</v>
      </c>
      <c r="D114" s="5">
        <v>1.3577502635593499</v>
      </c>
      <c r="E114" s="5">
        <v>1.55630918063867</v>
      </c>
      <c r="F114" s="5">
        <v>1.7447173608226501</v>
      </c>
      <c r="G114" s="5">
        <v>1.8113092427473401</v>
      </c>
      <c r="H114" s="5">
        <v>1.8904252412937801</v>
      </c>
      <c r="I114" s="5">
        <v>1.9956738945088299</v>
      </c>
      <c r="J114" s="1"/>
      <c r="K114" s="10">
        <f t="shared" si="4"/>
        <v>1.1687629422430008</v>
      </c>
      <c r="L114" s="10">
        <f t="shared" si="5"/>
        <v>1.1252441966694411</v>
      </c>
      <c r="M114" s="8">
        <f t="shared" si="6"/>
        <v>2.1094237467877974E-14</v>
      </c>
      <c r="N114" s="8">
        <f>B114^2* UnnormalizedLowerIncompleteGamma(2/2 + 1, (A114/B114)^(2)) + C114^2 *UnnormalizedUpperIncompleteGamma(2/3.6 + 1, (A114/C114)^(3.6)) - 1</f>
        <v>0</v>
      </c>
      <c r="O114" s="8">
        <f t="shared" si="7"/>
        <v>-2.2204460492503131E-16</v>
      </c>
    </row>
    <row r="115" spans="1:15" x14ac:dyDescent="0.25">
      <c r="A115" s="9">
        <v>1.1399999999999899</v>
      </c>
      <c r="B115" s="5">
        <v>1.1174281739749801</v>
      </c>
      <c r="C115" s="5">
        <v>1.1274043890516301</v>
      </c>
      <c r="D115" s="5">
        <v>1.36033451811547</v>
      </c>
      <c r="E115" s="5">
        <v>1.5592713594713601</v>
      </c>
      <c r="F115" s="5">
        <v>1.7480381436719401</v>
      </c>
      <c r="G115" s="5">
        <v>1.8147567723032101</v>
      </c>
      <c r="H115" s="5">
        <v>1.89402335515458</v>
      </c>
      <c r="I115" s="5">
        <v>1.99947233188928</v>
      </c>
      <c r="J115" s="1"/>
      <c r="K115" s="10">
        <f t="shared" si="4"/>
        <v>1.1645724522936645</v>
      </c>
      <c r="L115" s="10">
        <f t="shared" si="5"/>
        <v>1.1272999392553691</v>
      </c>
      <c r="M115" s="8">
        <f t="shared" si="6"/>
        <v>2.6867397195928788E-14</v>
      </c>
      <c r="N115" s="8">
        <f>B115^2* UnnormalizedLowerIncompleteGamma(2/2 + 1, (A115/B115)^(2)) + C115^2 *UnnormalizedUpperIncompleteGamma(2/3.6 + 1, (A115/C115)^(3.6)) - 1</f>
        <v>7.3274719625260332E-15</v>
      </c>
      <c r="O115" s="8">
        <f t="shared" si="7"/>
        <v>7.3274719625260332E-15</v>
      </c>
    </row>
    <row r="116" spans="1:15" x14ac:dyDescent="0.25">
      <c r="A116" s="9">
        <v>1.1499999999999899</v>
      </c>
      <c r="B116" s="5">
        <v>1.11349888750287</v>
      </c>
      <c r="C116" s="5">
        <v>1.1295763442606701</v>
      </c>
      <c r="D116" s="5">
        <v>1.3629552154192499</v>
      </c>
      <c r="E116" s="5">
        <v>1.5622753104799001</v>
      </c>
      <c r="F116" s="5">
        <v>1.7514057556739999</v>
      </c>
      <c r="G116" s="5">
        <v>1.8182529183738001</v>
      </c>
      <c r="H116" s="5">
        <v>1.89767220904607</v>
      </c>
      <c r="I116" s="5">
        <v>2.0033243342309</v>
      </c>
      <c r="J116" s="1"/>
      <c r="K116" s="10">
        <f t="shared" si="4"/>
        <v>1.1604827154734119</v>
      </c>
      <c r="L116" s="10">
        <f t="shared" si="5"/>
        <v>1.1293875412185745</v>
      </c>
      <c r="M116" s="8">
        <f t="shared" si="6"/>
        <v>1.5543122344752192E-14</v>
      </c>
      <c r="N116" s="8">
        <f>B116^2* UnnormalizedLowerIncompleteGamma(2/2 + 1, (A116/B116)^(2)) + C116^2 *UnnormalizedUpperIncompleteGamma(2/3.6 + 1, (A116/C116)^(3.6)) - 1</f>
        <v>0</v>
      </c>
      <c r="O116" s="8">
        <f t="shared" si="7"/>
        <v>1.5543122344752192E-15</v>
      </c>
    </row>
    <row r="117" spans="1:15" x14ac:dyDescent="0.25">
      <c r="A117" s="9">
        <v>1.1599999999999899</v>
      </c>
      <c r="B117" s="5">
        <v>1.10969524535969</v>
      </c>
      <c r="C117" s="5">
        <v>1.1317778129665901</v>
      </c>
      <c r="D117" s="5">
        <v>1.3656115239277999</v>
      </c>
      <c r="E117" s="5">
        <v>1.56532008051561</v>
      </c>
      <c r="F117" s="5">
        <v>1.75481912829116</v>
      </c>
      <c r="G117" s="5">
        <v>1.82179657163778</v>
      </c>
      <c r="H117" s="5">
        <v>1.9013706451929799</v>
      </c>
      <c r="I117" s="5">
        <v>2.00722867929976</v>
      </c>
      <c r="J117" s="1"/>
      <c r="K117" s="10">
        <f t="shared" si="4"/>
        <v>1.156490901085987</v>
      </c>
      <c r="L117" s="10">
        <f t="shared" si="5"/>
        <v>1.1315065565540559</v>
      </c>
      <c r="M117" s="8">
        <f t="shared" si="6"/>
        <v>1.2434497875801753E-14</v>
      </c>
      <c r="N117" s="8">
        <f>B117^2* UnnormalizedLowerIncompleteGamma(2/2 + 1, (A117/B117)^(2)) + C117^2 *UnnormalizedUpperIncompleteGamma(2/3.6 + 1, (A117/C117)^(3.6)) - 1</f>
        <v>1.7763568394002505E-15</v>
      </c>
      <c r="O117" s="8">
        <f t="shared" si="7"/>
        <v>1.7763568394002505E-15</v>
      </c>
    </row>
    <row r="118" spans="1:15" x14ac:dyDescent="0.25">
      <c r="A118" s="9">
        <v>1.1699999999999899</v>
      </c>
      <c r="B118" s="5">
        <v>1.10601341126273</v>
      </c>
      <c r="C118" s="5">
        <v>1.13400810084615</v>
      </c>
      <c r="D118" s="5">
        <v>1.3682543276833301</v>
      </c>
      <c r="E118" s="5">
        <v>1.5684047092856801</v>
      </c>
      <c r="F118" s="5">
        <v>1.7582771849766701</v>
      </c>
      <c r="G118" s="5">
        <v>1.82538661445907</v>
      </c>
      <c r="H118" s="5">
        <v>1.9051174971421301</v>
      </c>
      <c r="I118" s="5">
        <v>2.0111841357008799</v>
      </c>
      <c r="J118" s="1"/>
      <c r="K118" s="10">
        <f t="shared" si="4"/>
        <v>1.1525942736281696</v>
      </c>
      <c r="L118" s="10">
        <f t="shared" si="5"/>
        <v>1.1336565204638231</v>
      </c>
      <c r="M118" s="8">
        <f t="shared" si="6"/>
        <v>3.2640556923979602E-14</v>
      </c>
      <c r="N118" s="8">
        <f>B118^2* UnnormalizedLowerIncompleteGamma(2/2 + 1, (A118/B118)^(2)) + C118^2 *UnnormalizedUpperIncompleteGamma(2/3.6 + 1, (A118/C118)^(3.6)) - 1</f>
        <v>7.1054273576010019E-15</v>
      </c>
      <c r="O118" s="8">
        <f t="shared" si="7"/>
        <v>7.1054273576010019E-15</v>
      </c>
    </row>
    <row r="119" spans="1:15" x14ac:dyDescent="0.25">
      <c r="A119" s="9">
        <v>1.1799999999999899</v>
      </c>
      <c r="B119" s="5">
        <v>1.1024496551617999</v>
      </c>
      <c r="C119" s="5">
        <v>1.13626650990109</v>
      </c>
      <c r="D119" s="5">
        <v>1.3707777171309099</v>
      </c>
      <c r="E119" s="5">
        <v>1.57152823141451</v>
      </c>
      <c r="F119" s="5">
        <v>1.76177884348572</v>
      </c>
      <c r="G119" s="5">
        <v>1.8290219232860501</v>
      </c>
      <c r="H119" s="5">
        <v>1.90891159226638</v>
      </c>
      <c r="I119" s="5">
        <v>2.0151894655215701</v>
      </c>
      <c r="J119" s="1"/>
      <c r="K119" s="10">
        <f t="shared" si="4"/>
        <v>1.1487901889379766</v>
      </c>
      <c r="L119" s="10">
        <f t="shared" si="5"/>
        <v>1.135836950298285</v>
      </c>
      <c r="M119" s="8">
        <f t="shared" si="6"/>
        <v>3.1086244689504383E-15</v>
      </c>
      <c r="N119" s="8">
        <f>B119^2* UnnormalizedLowerIncompleteGamma(2/2 + 1, (A119/B119)^(2)) + C119^2 *UnnormalizedUpperIncompleteGamma(2/3.6 + 1, (A119/C119)^(3.6)) - 1</f>
        <v>-5.773159728050814E-15</v>
      </c>
      <c r="O119" s="8">
        <f t="shared" si="7"/>
        <v>-5.773159728050814E-15</v>
      </c>
    </row>
    <row r="120" spans="1:15" x14ac:dyDescent="0.25">
      <c r="A120" s="9">
        <v>1.18999999999999</v>
      </c>
      <c r="B120" s="5">
        <v>1.0990003511192701</v>
      </c>
      <c r="C120" s="5">
        <v>1.1385523398639601</v>
      </c>
      <c r="D120" s="5">
        <v>1.3731827211688801</v>
      </c>
      <c r="E120" s="5">
        <v>1.57468967838805</v>
      </c>
      <c r="F120" s="5">
        <v>1.7653230180550601</v>
      </c>
      <c r="G120" s="5">
        <v>1.83270137091437</v>
      </c>
      <c r="H120" s="5">
        <v>1.9127517541263399</v>
      </c>
      <c r="I120" s="5">
        <v>2.0192434268246702</v>
      </c>
      <c r="J120" s="1"/>
      <c r="K120" s="10">
        <f t="shared" si="4"/>
        <v>1.1450760905281114</v>
      </c>
      <c r="L120" s="10">
        <f t="shared" si="5"/>
        <v>1.1380473465165832</v>
      </c>
      <c r="M120" s="8">
        <f t="shared" si="6"/>
        <v>1.4210854715202004E-14</v>
      </c>
      <c r="N120" s="8">
        <f>B120^2* UnnormalizedLowerIncompleteGamma(2/2 + 1, (A120/B120)^(2)) + C120^2 *UnnormalizedUpperIncompleteGamma(2/3.6 + 1, (A120/C120)^(3.6)) - 1</f>
        <v>0</v>
      </c>
      <c r="O120" s="8">
        <f t="shared" si="7"/>
        <v>-4.4408920985006262E-16</v>
      </c>
    </row>
    <row r="121" spans="1:15" x14ac:dyDescent="0.25">
      <c r="A121" s="9">
        <v>1.19999999999999</v>
      </c>
      <c r="B121" s="5">
        <v>1.09566197519151</v>
      </c>
      <c r="C121" s="5">
        <v>1.14086488951919</v>
      </c>
      <c r="D121" s="5">
        <v>1.3754742914515199</v>
      </c>
      <c r="E121" s="5">
        <v>1.5778880803809501</v>
      </c>
      <c r="F121" s="5">
        <v>1.76890862145144</v>
      </c>
      <c r="G121" s="5">
        <v>1.8364238286135399</v>
      </c>
      <c r="H121" s="5">
        <v>1.9166368046898199</v>
      </c>
      <c r="I121" s="5">
        <v>2.02334477599153</v>
      </c>
      <c r="J121" s="1"/>
      <c r="K121" s="10">
        <f t="shared" si="4"/>
        <v>1.1414495060942906</v>
      </c>
      <c r="L121" s="10">
        <f t="shared" si="5"/>
        <v>1.1402871936625514</v>
      </c>
      <c r="M121" s="8">
        <f t="shared" si="6"/>
        <v>3.2418512319054571E-14</v>
      </c>
      <c r="N121" s="8">
        <f>B121^2* UnnormalizedLowerIncompleteGamma(2/2 + 1, (A121/B121)^(2)) + C121^2 *UnnormalizedUpperIncompleteGamma(2/3.6 + 1, (A121/C121)^(3.6)) - 1</f>
        <v>3.9968028886505635E-15</v>
      </c>
      <c r="O121" s="8">
        <f t="shared" si="7"/>
        <v>3.9968028886505635E-15</v>
      </c>
    </row>
    <row r="122" spans="1:15" x14ac:dyDescent="0.25">
      <c r="A122" s="9">
        <v>1.20999999999999</v>
      </c>
      <c r="B122" s="5">
        <v>1.0924311033101799</v>
      </c>
      <c r="C122" s="5">
        <v>1.1432034579400601</v>
      </c>
      <c r="D122" s="5">
        <v>1.3776572035554899</v>
      </c>
      <c r="E122" s="5">
        <v>1.5811224679673801</v>
      </c>
      <c r="F122" s="5">
        <v>1.7725345668894501</v>
      </c>
      <c r="G122" s="5">
        <v>1.8401881681180601</v>
      </c>
      <c r="H122" s="5">
        <v>1.9205655664098999</v>
      </c>
      <c r="I122" s="5">
        <v>2.02749226991578</v>
      </c>
      <c r="J122" s="1"/>
      <c r="K122" s="10">
        <f t="shared" si="4"/>
        <v>1.137908044188733</v>
      </c>
      <c r="L122" s="10">
        <f t="shared" si="5"/>
        <v>1.1425559613530154</v>
      </c>
      <c r="M122" s="8">
        <f t="shared" si="6"/>
        <v>1.9984014443252818E-14</v>
      </c>
      <c r="N122" s="8">
        <f>B122^2* UnnormalizedLowerIncompleteGamma(2/2 + 1, (A122/B122)^(2)) + C122^2 *UnnormalizedUpperIncompleteGamma(2/3.6 + 1, (A122/C122)^(3.6)) - 1</f>
        <v>-5.5511151231257827E-15</v>
      </c>
      <c r="O122" s="8">
        <f t="shared" si="7"/>
        <v>-5.773159728050814E-15</v>
      </c>
    </row>
    <row r="123" spans="1:15" x14ac:dyDescent="0.25">
      <c r="A123" s="9">
        <v>1.21999999999999</v>
      </c>
      <c r="B123" s="5">
        <v>1.0893044091630799</v>
      </c>
      <c r="C123" s="5">
        <v>1.1455673456425799</v>
      </c>
      <c r="D123" s="5">
        <v>1.3797360611202101</v>
      </c>
      <c r="E123" s="5">
        <v>1.5843918737168501</v>
      </c>
      <c r="F123" s="5">
        <v>1.77619976982061</v>
      </c>
      <c r="G123" s="5">
        <v>1.8439932634847001</v>
      </c>
      <c r="H123" s="5">
        <v>1.92453686416341</v>
      </c>
      <c r="I123" s="5">
        <v>2.0316846680497398</v>
      </c>
      <c r="J123" s="1"/>
      <c r="K123" s="10">
        <f t="shared" si="4"/>
        <v>1.1344493910497127</v>
      </c>
      <c r="L123" s="10">
        <f t="shared" si="5"/>
        <v>1.1448531052751947</v>
      </c>
      <c r="M123" s="8">
        <f t="shared" si="6"/>
        <v>2.2426505097428162E-14</v>
      </c>
      <c r="N123" s="8">
        <f>B123^2* UnnormalizedLowerIncompleteGamma(2/2 + 1, (A123/B123)^(2)) + C123^2 *UnnormalizedUpperIncompleteGamma(2/3.6 + 1, (A123/C123)^(3.6)) - 1</f>
        <v>-1.7763568394002505E-15</v>
      </c>
      <c r="O123" s="8">
        <f t="shared" si="7"/>
        <v>-1.7763568394002505E-15</v>
      </c>
    </row>
    <row r="124" spans="1:15" x14ac:dyDescent="0.25">
      <c r="A124" s="9">
        <v>1.22999999999999</v>
      </c>
      <c r="B124" s="5">
        <v>1.0862786620749501</v>
      </c>
      <c r="C124" s="5">
        <v>1.14795585565777</v>
      </c>
      <c r="D124" s="5">
        <v>1.3817153000544</v>
      </c>
      <c r="E124" s="5">
        <v>1.5876953336773201</v>
      </c>
      <c r="F124" s="5">
        <v>1.7799031495959901</v>
      </c>
      <c r="G124" s="5">
        <v>1.8478379928186199</v>
      </c>
      <c r="H124" s="5">
        <v>1.92854952705236</v>
      </c>
      <c r="I124" s="5">
        <v>2.03592073430617</v>
      </c>
      <c r="J124" s="1"/>
      <c r="K124" s="10">
        <f t="shared" si="4"/>
        <v>1.131071307578652</v>
      </c>
      <c r="L124" s="10">
        <f t="shared" si="5"/>
        <v>1.1471780681900341</v>
      </c>
      <c r="M124" s="8">
        <f t="shared" si="6"/>
        <v>3.4638958368304884E-14</v>
      </c>
      <c r="N124" s="8">
        <f>B124^2* UnnormalizedLowerIncompleteGamma(2/2 + 1, (A124/B124)^(2)) + C124^2 *UnnormalizedUpperIncompleteGamma(2/3.6 + 1, (A124/C124)^(3.6)) - 1</f>
        <v>3.3306690738754696E-15</v>
      </c>
      <c r="O124" s="8">
        <f t="shared" si="7"/>
        <v>3.3306690738754696E-15</v>
      </c>
    </row>
    <row r="125" spans="1:15" x14ac:dyDescent="0.25">
      <c r="A125" s="9">
        <v>1.23999999999999</v>
      </c>
      <c r="B125" s="5">
        <v>1.0833507248891401</v>
      </c>
      <c r="C125" s="5">
        <v>1.1503682945243601</v>
      </c>
      <c r="D125" s="5">
        <v>1.3835991927943601</v>
      </c>
      <c r="E125" s="5">
        <v>1.5910318887481401</v>
      </c>
      <c r="F125" s="5">
        <v>1.7836436310053501</v>
      </c>
      <c r="G125" s="5">
        <v>1.8517212398712599</v>
      </c>
      <c r="H125" s="5">
        <v>1.93260239007168</v>
      </c>
      <c r="I125" s="5">
        <v>2.0401992388188002</v>
      </c>
      <c r="J125" s="1"/>
      <c r="K125" s="10">
        <f t="shared" si="4"/>
        <v>1.1277716264567601</v>
      </c>
      <c r="L125" s="10">
        <f t="shared" si="5"/>
        <v>1.1495302809383741</v>
      </c>
      <c r="M125" s="8">
        <f t="shared" si="6"/>
        <v>3.7747582837255322E-14</v>
      </c>
      <c r="N125" s="8">
        <f>B125^2* UnnormalizedLowerIncompleteGamma(2/2 + 1, (A125/B125)^(2)) + C125^2 *UnnormalizedUpperIncompleteGamma(2/3.6 + 1, (A125/C125)^(3.6)) - 1</f>
        <v>0</v>
      </c>
      <c r="O125" s="8">
        <f t="shared" si="7"/>
        <v>1.3322676295501878E-15</v>
      </c>
    </row>
    <row r="126" spans="1:15" x14ac:dyDescent="0.25">
      <c r="A126" s="9">
        <v>1.24999999999999</v>
      </c>
      <c r="B126" s="5">
        <v>1.0805175518515799</v>
      </c>
      <c r="C126" s="5">
        <v>1.15280397320409</v>
      </c>
      <c r="D126" s="5">
        <v>1.3853918526003399</v>
      </c>
      <c r="E126" s="5">
        <v>1.59440058594594</v>
      </c>
      <c r="F126" s="5">
        <v>1.7874201456963099</v>
      </c>
      <c r="G126" s="5">
        <v>1.85564189551366</v>
      </c>
      <c r="H126" s="5">
        <v>1.93669429564688</v>
      </c>
      <c r="I126" s="5">
        <v>2.0445189595656701</v>
      </c>
      <c r="J126" s="1"/>
      <c r="K126" s="10">
        <f t="shared" si="4"/>
        <v>1.1245482493937153</v>
      </c>
      <c r="L126" s="10">
        <f t="shared" si="5"/>
        <v>1.1519091634469483</v>
      </c>
      <c r="M126" s="8">
        <f t="shared" si="6"/>
        <v>2.55351295663786E-14</v>
      </c>
      <c r="N126" s="8">
        <f>B126^2* UnnormalizedLowerIncompleteGamma(2/2 + 1, (A126/B126)^(2)) + C126^2 *UnnormalizedUpperIncompleteGamma(2/3.6 + 1, (A126/C126)^(3.6)) - 1</f>
        <v>-7.8825834748386114E-15</v>
      </c>
      <c r="O126" s="8">
        <f t="shared" si="7"/>
        <v>-7.8825834748386114E-15</v>
      </c>
    </row>
    <row r="127" spans="1:15" x14ac:dyDescent="0.25">
      <c r="A127" s="9">
        <v>1.25999999999999</v>
      </c>
      <c r="B127" s="5">
        <v>1.0777761864988999</v>
      </c>
      <c r="C127" s="5">
        <v>1.1552622079221599</v>
      </c>
      <c r="D127" s="5">
        <v>1.3870972378773501</v>
      </c>
      <c r="E127" s="5">
        <v>1.59780047956705</v>
      </c>
      <c r="F127" s="5">
        <v>1.7912316334774601</v>
      </c>
      <c r="G127" s="5">
        <v>1.85959885908933</v>
      </c>
      <c r="H127" s="5">
        <v>1.9408240950460101</v>
      </c>
      <c r="I127" s="5">
        <v>2.0488786838596398</v>
      </c>
      <c r="J127" s="1"/>
      <c r="K127" s="10">
        <f t="shared" si="4"/>
        <v>1.121399144501354</v>
      </c>
      <c r="L127" s="10">
        <f t="shared" si="5"/>
        <v>1.1543141257313156</v>
      </c>
      <c r="M127" s="8">
        <f t="shared" si="6"/>
        <v>1.9761969838327786E-14</v>
      </c>
      <c r="N127" s="8">
        <f>B127^2* UnnormalizedLowerIncompleteGamma(2/2 + 1, (A127/B127)^(2)) + C127^2 *UnnormalizedUpperIncompleteGamma(2/3.6 + 1, (A127/C127)^(3.6)) - 1</f>
        <v>-1.7097434579227411E-14</v>
      </c>
      <c r="O127" s="8">
        <f t="shared" si="7"/>
        <v>-1.7097434579227411E-14</v>
      </c>
    </row>
    <row r="128" spans="1:15" x14ac:dyDescent="0.25">
      <c r="A128" s="9">
        <v>1.26999999999999</v>
      </c>
      <c r="B128" s="5">
        <v>1.07512375955281</v>
      </c>
      <c r="C128" s="5">
        <v>1.1577423209355799</v>
      </c>
      <c r="D128" s="5">
        <v>1.3887191565077599</v>
      </c>
      <c r="E128" s="5">
        <v>1.6012306322501699</v>
      </c>
      <c r="F128" s="5">
        <v>1.7950770435097101</v>
      </c>
      <c r="G128" s="5">
        <v>1.86359103965105</v>
      </c>
      <c r="H128" s="5">
        <v>1.9449906496704601</v>
      </c>
      <c r="I128" s="5">
        <v>2.0532772097110898</v>
      </c>
      <c r="J128" s="1"/>
      <c r="K128" s="10">
        <f t="shared" si="4"/>
        <v>1.1183223437857543</v>
      </c>
      <c r="L128" s="10">
        <f t="shared" si="5"/>
        <v>1.1567445688929272</v>
      </c>
      <c r="M128" s="8">
        <f t="shared" si="6"/>
        <v>5.7509552675583109E-14</v>
      </c>
      <c r="N128" s="8">
        <f>B128^2* UnnormalizedLowerIncompleteGamma(2/2 + 1, (A128/B128)^(2)) + C128^2 *UnnormalizedUpperIncompleteGamma(2/3.6 + 1, (A128/C128)^(3.6)) - 1</f>
        <v>1.7763568394002505E-15</v>
      </c>
      <c r="O128" s="8">
        <f t="shared" si="7"/>
        <v>1.7763568394002505E-15</v>
      </c>
    </row>
    <row r="129" spans="1:15" x14ac:dyDescent="0.25">
      <c r="A129" s="9">
        <v>1.27999999999999</v>
      </c>
      <c r="B129" s="5">
        <v>1.0725574868229699</v>
      </c>
      <c r="C129" s="5">
        <v>1.1602436412322801</v>
      </c>
      <c r="D129" s="5">
        <v>1.3902612701833601</v>
      </c>
      <c r="E129" s="5">
        <v>1.60469011594333</v>
      </c>
      <c r="F129" s="5">
        <v>1.7989553353902901</v>
      </c>
      <c r="G129" s="5">
        <v>1.86761735708624</v>
      </c>
      <c r="H129" s="5">
        <v>1.94919283222952</v>
      </c>
      <c r="I129" s="5">
        <v>2.0577133470678599</v>
      </c>
      <c r="J129" s="1"/>
      <c r="K129" s="10">
        <f t="shared" si="4"/>
        <v>1.1153159407515019</v>
      </c>
      <c r="L129" s="10">
        <f t="shared" si="5"/>
        <v>1.1591998861076664</v>
      </c>
      <c r="M129" s="8">
        <f t="shared" si="6"/>
        <v>5.7065463465733046E-14</v>
      </c>
      <c r="N129" s="8">
        <f>B129^2* UnnormalizedLowerIncompleteGamma(2/2 + 1, (A129/B129)^(2)) + C129^2 *UnnormalizedUpperIncompleteGamma(2/3.6 + 1, (A129/C129)^(3.6)) - 1</f>
        <v>-1.8207657603852567E-14</v>
      </c>
      <c r="O129" s="8">
        <f t="shared" si="7"/>
        <v>-1.8207657603852567E-14</v>
      </c>
    </row>
    <row r="130" spans="1:15" x14ac:dyDescent="0.25">
      <c r="A130" s="9">
        <v>1.28999999999999</v>
      </c>
      <c r="B130" s="5">
        <v>1.0700746671208801</v>
      </c>
      <c r="C130" s="5">
        <v>1.1627655051642101</v>
      </c>
      <c r="D130" s="5">
        <v>1.3917270987255299</v>
      </c>
      <c r="E130" s="5">
        <v>1.6081780127793901</v>
      </c>
      <c r="F130" s="5">
        <v>1.8028654801342401</v>
      </c>
      <c r="G130" s="5">
        <v>1.87167674313594</v>
      </c>
      <c r="H130" s="5">
        <v>1.95342952780387</v>
      </c>
      <c r="I130" s="5">
        <v>2.0621859189379399</v>
      </c>
      <c r="J130" s="1"/>
      <c r="K130" s="10">
        <f t="shared" si="4"/>
        <v>1.1123780881122964</v>
      </c>
      <c r="L130" s="10">
        <f t="shared" si="5"/>
        <v>1.1616794636033196</v>
      </c>
      <c r="M130" s="8">
        <f t="shared" si="6"/>
        <v>7.0388139761234925E-14</v>
      </c>
      <c r="N130" s="8">
        <f>B130^2* UnnormalizedLowerIncompleteGamma(2/2 + 1, (A130/B130)^(2)) + C130^2 *UnnormalizedUpperIncompleteGamma(2/3.6 + 1, (A130/C130)^(3.6)) - 1</f>
        <v>-1.3100631690576847E-14</v>
      </c>
      <c r="O130" s="8">
        <f t="shared" si="7"/>
        <v>-1.3100631690576847E-14</v>
      </c>
    </row>
    <row r="131" spans="1:15" x14ac:dyDescent="0.25">
      <c r="A131" s="9">
        <v>1.2999999999999901</v>
      </c>
      <c r="B131" s="5">
        <v>1.06767268018706</v>
      </c>
      <c r="C131" s="5">
        <v>1.16530725701725</v>
      </c>
      <c r="D131" s="5">
        <v>1.3931200243827899</v>
      </c>
      <c r="E131" s="5">
        <v>1.6116934158644001</v>
      </c>
      <c r="F131" s="5">
        <v>1.80680646105822</v>
      </c>
      <c r="G131" s="5">
        <v>1.87576814231232</v>
      </c>
      <c r="H131" s="5">
        <v>1.9576996348030999</v>
      </c>
      <c r="I131" s="5">
        <v>2.0666937624003499</v>
      </c>
      <c r="J131" s="1"/>
      <c r="K131" s="10">
        <f t="shared" ref="K131:K194" si="8">GetH1Initial(A131)</f>
        <v>1.1095069956024093</v>
      </c>
      <c r="L131" s="10">
        <f t="shared" ref="L131:L194" si="9">GetH2Initial(A131)</f>
        <v>1.1641826816235747</v>
      </c>
      <c r="M131" s="8">
        <f t="shared" ref="M131:M194" si="10">(A131/B131)^2-(A131/C131)^3.6</f>
        <v>1.0791367799356522E-13</v>
      </c>
      <c r="N131" s="8">
        <f>B131^2* UnnormalizedLowerIncompleteGamma(2/2 + 1, (A131/B131)^(2)) + C131^2 *UnnormalizedUpperIncompleteGamma(2/3.6 + 1, (A131/C131)^(3.6)) - 1</f>
        <v>-6.2172489379008766E-15</v>
      </c>
      <c r="O131" s="8">
        <f t="shared" ref="O131:O194" si="11">CalculateF1_ForCell(A131,B131,C131)</f>
        <v>-6.2172489379008766E-15</v>
      </c>
    </row>
    <row r="132" spans="1:15" x14ac:dyDescent="0.25">
      <c r="A132" s="9">
        <v>1.3099999999999901</v>
      </c>
      <c r="B132" s="5">
        <v>1.0653489846342701</v>
      </c>
      <c r="C132" s="5">
        <v>1.1678682495214101</v>
      </c>
      <c r="D132" s="5">
        <v>1.3944432960959501</v>
      </c>
      <c r="E132" s="5">
        <v>1.61523542998315</v>
      </c>
      <c r="F132" s="5">
        <v>1.8107772745714601</v>
      </c>
      <c r="G132" s="5">
        <v>1.87989051271986</v>
      </c>
      <c r="H132" s="5">
        <v>1.9620020658228601</v>
      </c>
      <c r="I132" s="5">
        <v>2.0712357295099202</v>
      </c>
      <c r="J132" s="1"/>
      <c r="K132" s="10">
        <f t="shared" si="8"/>
        <v>1.1067009278838202</v>
      </c>
      <c r="L132" s="10">
        <f t="shared" si="9"/>
        <v>1.1667089153762871</v>
      </c>
      <c r="M132" s="8">
        <f t="shared" si="10"/>
        <v>7.2386541205560206E-14</v>
      </c>
      <c r="N132" s="8">
        <f>B132^2* UnnormalizedLowerIncompleteGamma(2/2 + 1, (A132/B132)^(2)) + C132^2 *UnnormalizedUpperIncompleteGamma(2/3.6 + 1, (A132/C132)^(3.6)) - 1</f>
        <v>-2.708944180085382E-14</v>
      </c>
      <c r="O132" s="8">
        <f t="shared" si="11"/>
        <v>-2.708944180085382E-14</v>
      </c>
    </row>
    <row r="133" spans="1:15" x14ac:dyDescent="0.25">
      <c r="A133" s="9">
        <v>1.3199999999999901</v>
      </c>
      <c r="B133" s="5">
        <v>1.0631011159089201</v>
      </c>
      <c r="C133" s="5">
        <v>1.1704478443044</v>
      </c>
      <c r="D133" s="5">
        <v>1.3957000337217</v>
      </c>
      <c r="E133" s="5">
        <v>1.6188031722264999</v>
      </c>
      <c r="F133" s="5">
        <v>1.81477693087905</v>
      </c>
      <c r="G133" s="5">
        <v>1.8840428267854099</v>
      </c>
      <c r="H133" s="5">
        <v>1.9663357484067301</v>
      </c>
      <c r="I133" s="5">
        <v>2.07581068810167</v>
      </c>
      <c r="J133" s="1"/>
      <c r="K133" s="10">
        <f t="shared" si="8"/>
        <v>1.1039582025441677</v>
      </c>
      <c r="L133" s="10">
        <f t="shared" si="9"/>
        <v>1.169257535963899</v>
      </c>
      <c r="M133" s="8">
        <f t="shared" si="10"/>
        <v>1.0347278589506459E-13</v>
      </c>
      <c r="N133" s="8">
        <f>B133^2* UnnormalizedLowerIncompleteGamma(2/2 + 1, (A133/B133)^(2)) + C133^2 *UnnormalizedUpperIncompleteGamma(2/3.6 + 1, (A133/C133)^(3.6)) - 1</f>
        <v>-1.6653345369377348E-14</v>
      </c>
      <c r="O133" s="8">
        <f t="shared" si="11"/>
        <v>-1.6653345369377348E-14</v>
      </c>
    </row>
    <row r="134" spans="1:15" x14ac:dyDescent="0.25">
      <c r="A134" s="9">
        <v>1.3299999999999901</v>
      </c>
      <c r="B134" s="5">
        <v>1.0609266842732701</v>
      </c>
      <c r="C134" s="5">
        <v>1.17304541229166</v>
      </c>
      <c r="D134" s="5">
        <v>1.39689323220648</v>
      </c>
      <c r="E134" s="5">
        <v>1.6223957725446601</v>
      </c>
      <c r="F134" s="5">
        <v>1.81880445460222</v>
      </c>
      <c r="G134" s="5">
        <v>1.8882240719022201</v>
      </c>
      <c r="H134" s="5">
        <v>1.9706996257184</v>
      </c>
      <c r="I134" s="5">
        <v>2.0804175225003601</v>
      </c>
      <c r="J134" s="1"/>
      <c r="K134" s="10">
        <f t="shared" si="8"/>
        <v>1.1012771881809287</v>
      </c>
      <c r="L134" s="10">
        <f t="shared" si="9"/>
        <v>1.1718279112940491</v>
      </c>
      <c r="M134" s="8">
        <f t="shared" si="10"/>
        <v>1.5343282200319663E-13</v>
      </c>
      <c r="N134" s="8">
        <f>B134^2* UnnormalizedLowerIncompleteGamma(2/2 + 1, (A134/B134)^(2)) + C134^2 *UnnormalizedUpperIncompleteGamma(2/3.6 + 1, (A134/C134)^(3.6)) - 1</f>
        <v>-9.7699626167013776E-15</v>
      </c>
      <c r="O134" s="8">
        <f t="shared" si="11"/>
        <v>-9.7699626167013776E-15</v>
      </c>
    </row>
    <row r="135" spans="1:15" x14ac:dyDescent="0.25">
      <c r="A135" s="9">
        <v>1.3399999999999901</v>
      </c>
      <c r="B135" s="5">
        <v>1.05882337281057</v>
      </c>
      <c r="C135" s="5">
        <v>1.1756603340562299</v>
      </c>
      <c r="D135" s="5">
        <v>1.3980257657031401</v>
      </c>
      <c r="E135" s="5">
        <v>1.6260123742311201</v>
      </c>
      <c r="F135" s="5">
        <v>1.8228588853207699</v>
      </c>
      <c r="G135" s="5">
        <v>1.8924332509930499</v>
      </c>
      <c r="H135" s="5">
        <v>1.9750926571294101</v>
      </c>
      <c r="I135" s="5">
        <v>2.0850551341409602</v>
      </c>
      <c r="J135" s="1"/>
      <c r="K135" s="10">
        <f t="shared" si="8"/>
        <v>1.0986563025675096</v>
      </c>
      <c r="L135" s="10">
        <f t="shared" si="9"/>
        <v>1.1744194069685594</v>
      </c>
      <c r="M135" s="8">
        <f t="shared" si="10"/>
        <v>1.2256862191861728E-13</v>
      </c>
      <c r="N135" s="8">
        <f>B135^2* UnnormalizedLowerIncompleteGamma(2/2 + 1, (A135/B135)^(2)) + C135^2 *UnnormalizedUpperIncompleteGamma(2/3.6 + 1, (A135/C135)^(3.6)) - 1</f>
        <v>-2.9753977059954195E-14</v>
      </c>
      <c r="O135" s="8">
        <f t="shared" si="11"/>
        <v>-2.9753977059954195E-14</v>
      </c>
    </row>
    <row r="136" spans="1:15" x14ac:dyDescent="0.25">
      <c r="A136" s="9">
        <v>1.3499999999999901</v>
      </c>
      <c r="B136" s="5">
        <v>1.05678893545521</v>
      </c>
      <c r="C136" s="5">
        <v>1.1782920001214401</v>
      </c>
      <c r="D136" s="5">
        <v>1.39910039162385</v>
      </c>
      <c r="E136" s="5">
        <v>1.6296521343411801</v>
      </c>
      <c r="F136" s="5">
        <v>1.8269392780423701</v>
      </c>
      <c r="G136" s="5">
        <v>1.89666938299738</v>
      </c>
      <c r="H136" s="5">
        <v>1.97951381872757</v>
      </c>
      <c r="I136" s="5">
        <v>2.0897224421053902</v>
      </c>
      <c r="J136" s="1"/>
      <c r="K136" s="10">
        <f t="shared" si="8"/>
        <v>1.0960940108971713</v>
      </c>
      <c r="L136" s="10">
        <f t="shared" si="9"/>
        <v>1.177031387149146</v>
      </c>
      <c r="M136" s="8">
        <f t="shared" si="10"/>
        <v>1.4988010832439613E-13</v>
      </c>
      <c r="N136" s="8">
        <f>B136^2* UnnormalizedLowerIncompleteGamma(2/2 + 1, (A136/B136)^(2)) + C136^2 *UnnormalizedUpperIncompleteGamma(2/3.6 + 1, (A136/C136)^(3.6)) - 1</f>
        <v>-2.9087843245179101E-14</v>
      </c>
      <c r="O136" s="8">
        <f t="shared" si="11"/>
        <v>-2.9087843245179101E-14</v>
      </c>
    </row>
    <row r="137" spans="1:15" x14ac:dyDescent="0.25">
      <c r="A137" s="9">
        <v>1.3599999999999901</v>
      </c>
      <c r="B137" s="5">
        <v>1.0548211950500801</v>
      </c>
      <c r="C137" s="5">
        <v>1.1809398112194101</v>
      </c>
      <c r="D137" s="5">
        <v>1.40011975462329</v>
      </c>
      <c r="E137" s="5">
        <v>1.6333142240495799</v>
      </c>
      <c r="F137" s="5">
        <v>1.8310447036034601</v>
      </c>
      <c r="G137" s="5">
        <v>1.90093150328756</v>
      </c>
      <c r="H137" s="5">
        <v>1.9839621037513799</v>
      </c>
      <c r="I137" s="5">
        <v>2.0944183835811101</v>
      </c>
      <c r="J137" s="1"/>
      <c r="K137" s="10">
        <f t="shared" si="8"/>
        <v>1.0935888241009533</v>
      </c>
      <c r="L137" s="10">
        <f t="shared" si="9"/>
        <v>1.1796632153983511</v>
      </c>
      <c r="M137" s="8">
        <f t="shared" si="10"/>
        <v>1.7763568394002505E-13</v>
      </c>
      <c r="N137" s="8">
        <f>B137^2* UnnormalizedLowerIncompleteGamma(2/2 + 1, (A137/B137)^(2)) + C137^2 *UnnormalizedUpperIncompleteGamma(2/3.6 + 1, (A137/C137)^(3.6)) - 1</f>
        <v>-3.3417713041217212E-14</v>
      </c>
      <c r="O137" s="8">
        <f t="shared" si="11"/>
        <v>-3.3417713041217212E-14</v>
      </c>
    </row>
    <row r="138" spans="1:15" x14ac:dyDescent="0.25">
      <c r="A138" s="9">
        <v>1.3699999999999899</v>
      </c>
      <c r="B138" s="5">
        <v>1.0529180414327799</v>
      </c>
      <c r="C138" s="5">
        <v>1.18360317850849</v>
      </c>
      <c r="D138" s="5">
        <v>1.4010863905070701</v>
      </c>
      <c r="E138" s="5">
        <v>1.6369978289511999</v>
      </c>
      <c r="F138" s="5">
        <v>1.8351742490062699</v>
      </c>
      <c r="G138" s="5">
        <v>1.90521866401882</v>
      </c>
      <c r="H138" s="5">
        <v>1.9884365229552201</v>
      </c>
      <c r="I138" s="5">
        <v>2.0991419142466698</v>
      </c>
      <c r="J138" s="1"/>
      <c r="K138" s="10">
        <f t="shared" si="8"/>
        <v>1.0911392972359664</v>
      </c>
      <c r="L138" s="10">
        <f t="shared" si="9"/>
        <v>1.1823142554943469</v>
      </c>
      <c r="M138" s="8">
        <f t="shared" si="10"/>
        <v>1.9562129693895258E-13</v>
      </c>
      <c r="N138" s="8">
        <f>B138^2* UnnormalizedLowerIncompleteGamma(2/2 + 1, (A138/B138)^(2)) + C138^2 *UnnormalizedUpperIncompleteGamma(2/3.6 + 1, (A138/C138)^(3.6)) - 1</f>
        <v>-3.5305092183079978E-14</v>
      </c>
      <c r="O138" s="8">
        <f t="shared" si="11"/>
        <v>-3.5305092183079978E-14</v>
      </c>
    </row>
    <row r="139" spans="1:15" x14ac:dyDescent="0.25">
      <c r="A139" s="9">
        <v>1.3799999999999899</v>
      </c>
      <c r="B139" s="5">
        <v>1.0510774295524401</v>
      </c>
      <c r="C139" s="5">
        <v>1.1862815237523601</v>
      </c>
      <c r="D139" s="5">
        <v>1.40200273006084</v>
      </c>
      <c r="E139" s="5">
        <v>1.6407021493087299</v>
      </c>
      <c r="F139" s="5">
        <v>1.8393270176966099</v>
      </c>
      <c r="G139" s="5">
        <v>1.9095299344175101</v>
      </c>
      <c r="H139" s="5">
        <v>1.9929361049103</v>
      </c>
      <c r="I139" s="5">
        <v>2.1038920085893702</v>
      </c>
      <c r="J139" s="1"/>
      <c r="K139" s="10">
        <f t="shared" si="8"/>
        <v>1.088744027940634</v>
      </c>
      <c r="L139" s="10">
        <f t="shared" si="9"/>
        <v>1.1849838722184203</v>
      </c>
      <c r="M139" s="8">
        <f t="shared" si="10"/>
        <v>2.1538326677728037E-13</v>
      </c>
      <c r="N139" s="8">
        <f>B139^2* UnnormalizedLowerIncompleteGamma(2/2 + 1, (A139/B139)^(2)) + C139^2 *UnnormalizedUpperIncompleteGamma(2/3.6 + 1, (A139/C139)^(3.6)) - 1</f>
        <v>-3.4861002973229915E-14</v>
      </c>
      <c r="O139" s="8">
        <f t="shared" si="11"/>
        <v>-3.4861002973229915E-14</v>
      </c>
    </row>
    <row r="140" spans="1:15" x14ac:dyDescent="0.25">
      <c r="A140" s="9">
        <v>1.3899999999999899</v>
      </c>
      <c r="B140" s="5">
        <v>1.04929737761869</v>
      </c>
      <c r="C140" s="5">
        <v>1.18897427946363</v>
      </c>
      <c r="D140" s="5">
        <v>1.40287110279646</v>
      </c>
      <c r="E140" s="5">
        <v>1.64442640025135</v>
      </c>
      <c r="F140" s="5">
        <v>1.84350212978647</v>
      </c>
      <c r="G140" s="5">
        <v>1.91386440101232</v>
      </c>
      <c r="H140" s="5">
        <v>1.9974598962458701</v>
      </c>
      <c r="I140" s="5">
        <v>2.1086676601599201</v>
      </c>
      <c r="J140" s="1"/>
      <c r="K140" s="10">
        <f t="shared" si="8"/>
        <v>1.0864016549536497</v>
      </c>
      <c r="L140" s="10">
        <f t="shared" si="9"/>
        <v>1.1876714321140949</v>
      </c>
      <c r="M140" s="8">
        <f t="shared" si="10"/>
        <v>2.3003821070233244E-13</v>
      </c>
      <c r="N140" s="8">
        <f>B140^2* UnnormalizedLowerIncompleteGamma(2/2 + 1, (A140/B140)^(2)) + C140^2 *UnnormalizedUpperIncompleteGamma(2/3.6 + 1, (A140/C140)^(3.6)) - 1</f>
        <v>-3.9745984281580604E-14</v>
      </c>
      <c r="O140" s="8">
        <f t="shared" si="11"/>
        <v>-3.9745984281580604E-14</v>
      </c>
    </row>
    <row r="141" spans="1:15" x14ac:dyDescent="0.25">
      <c r="A141" s="9">
        <v>1.3999999999999899</v>
      </c>
      <c r="B141" s="5">
        <v>1.0475759652840799</v>
      </c>
      <c r="C141" s="5">
        <v>1.19168088901458</v>
      </c>
      <c r="D141" s="5">
        <v>1.40369374061201</v>
      </c>
      <c r="E141" s="5">
        <v>1.6481698119278101</v>
      </c>
      <c r="F141" s="5">
        <v>1.84769872222573</v>
      </c>
      <c r="G141" s="5">
        <v>1.9182211678124801</v>
      </c>
      <c r="H141" s="5">
        <v>2.0020069618352601</v>
      </c>
      <c r="I141" s="5">
        <v>2.1134678817688699</v>
      </c>
      <c r="J141" s="1"/>
      <c r="K141" s="10">
        <f t="shared" si="8"/>
        <v>1.0841108566935986</v>
      </c>
      <c r="L141" s="10">
        <f t="shared" si="9"/>
        <v>1.1903763042169928</v>
      </c>
      <c r="M141" s="8">
        <f t="shared" si="10"/>
        <v>2.3891999489933369E-13</v>
      </c>
      <c r="N141" s="8">
        <f>B141^2* UnnormalizedLowerIncompleteGamma(2/2 + 1, (A141/B141)^(2)) + C141^2 *UnnormalizedUpperIncompleteGamma(2/3.6 + 1, (A141/C141)^(3.6)) - 1</f>
        <v>-4.6296300126869028E-14</v>
      </c>
      <c r="O141" s="8">
        <f t="shared" si="11"/>
        <v>-4.6296300126869028E-14</v>
      </c>
    </row>
    <row r="142" spans="1:15" x14ac:dyDescent="0.25">
      <c r="A142" s="9">
        <v>1.4099999999999899</v>
      </c>
      <c r="B142" s="5">
        <v>1.0459113318611299</v>
      </c>
      <c r="C142" s="5">
        <v>1.19440080671757</v>
      </c>
      <c r="D142" s="5">
        <v>1.404472781363</v>
      </c>
      <c r="E142" s="5">
        <v>1.65193162961771</v>
      </c>
      <c r="F142" s="5">
        <v>1.8519159489268699</v>
      </c>
      <c r="G142" s="5">
        <v>1.9225993564372099</v>
      </c>
      <c r="H142" s="5">
        <v>2.0065763849309999</v>
      </c>
      <c r="I142" s="5">
        <v>2.1182917056292099</v>
      </c>
      <c r="J142" s="1"/>
      <c r="K142" s="10">
        <f t="shared" si="8"/>
        <v>1.0818703498963516</v>
      </c>
      <c r="L142" s="10">
        <f t="shared" si="9"/>
        <v>1.1930978607546903</v>
      </c>
      <c r="M142" s="8">
        <f t="shared" si="10"/>
        <v>2.2315482794965646E-13</v>
      </c>
      <c r="N142" s="8">
        <f>B142^2* UnnormalizedLowerIncompleteGamma(2/2 + 1, (A142/B142)^(2)) + C142^2 *UnnormalizedUpperIncompleteGamma(2/3.6 + 1, (A142/C142)^(3.6)) - 1</f>
        <v>-5.8397731095283234E-14</v>
      </c>
      <c r="O142" s="8">
        <f t="shared" si="11"/>
        <v>-5.8397731095283234E-14</v>
      </c>
    </row>
    <row r="143" spans="1:15" x14ac:dyDescent="0.25">
      <c r="A143" s="9">
        <v>1.4199999999999899</v>
      </c>
      <c r="B143" s="5">
        <v>1.04430167457503</v>
      </c>
      <c r="C143" s="5">
        <v>1.1971334978775701</v>
      </c>
      <c r="D143" s="5">
        <v>1.40521027234302</v>
      </c>
      <c r="E143" s="5">
        <v>1.6557111138040801</v>
      </c>
      <c r="F143" s="5">
        <v>1.85615298084633</v>
      </c>
      <c r="G143" s="5">
        <v>1.9269981062002799</v>
      </c>
      <c r="H143" s="5">
        <v>2.0111672672530201</v>
      </c>
      <c r="I143" s="5">
        <v>2.12313818344948</v>
      </c>
      <c r="J143" s="1"/>
      <c r="K143" s="10">
        <f t="shared" si="8"/>
        <v>1.0796788883075059</v>
      </c>
      <c r="L143" s="10">
        <f t="shared" si="9"/>
        <v>1.1958354778159528</v>
      </c>
      <c r="M143" s="8">
        <f t="shared" si="10"/>
        <v>2.3736568266485847E-13</v>
      </c>
      <c r="N143" s="8">
        <f>B143^2* UnnormalizedLowerIncompleteGamma(2/2 + 1, (A143/B143)^(2)) + C143^2 *UnnormalizedUpperIncompleteGamma(2/3.6 + 1, (A143/C143)^(3.6)) - 1</f>
        <v>-6.1950444774083735E-14</v>
      </c>
      <c r="O143" s="8">
        <f t="shared" si="11"/>
        <v>-6.1950444774083735E-14</v>
      </c>
    </row>
    <row r="144" spans="1:15" x14ac:dyDescent="0.25">
      <c r="A144" s="9">
        <v>1.4299999999999899</v>
      </c>
      <c r="B144" s="5">
        <v>1.04274524685286</v>
      </c>
      <c r="C144" s="5">
        <v>1.19987843881908</v>
      </c>
      <c r="D144" s="5">
        <v>1.405908173672</v>
      </c>
      <c r="E144" s="5">
        <v>1.65950754021069</v>
      </c>
      <c r="F144" s="5">
        <v>1.8604090060263501</v>
      </c>
      <c r="G144" s="5">
        <v>1.93141657415334</v>
      </c>
      <c r="H144" s="5">
        <v>2.0157787290339102</v>
      </c>
      <c r="I144" s="5">
        <v>2.1280063864816001</v>
      </c>
      <c r="J144" s="1"/>
      <c r="K144" s="10">
        <f t="shared" si="8"/>
        <v>1.0775352614272897</v>
      </c>
      <c r="L144" s="10">
        <f t="shared" si="9"/>
        <v>1.1985885359888795</v>
      </c>
      <c r="M144" s="8">
        <f t="shared" si="10"/>
        <v>3.0464519795714295E-13</v>
      </c>
      <c r="N144" s="8">
        <f>B144^2* UnnormalizedLowerIncompleteGamma(2/2 + 1, (A144/B144)^(2)) + C144^2 *UnnormalizedUpperIncompleteGamma(2/3.6 + 1, (A144/C144)^(3.6)) - 1</f>
        <v>-4.6851411639181606E-14</v>
      </c>
      <c r="O144" s="8">
        <f t="shared" si="11"/>
        <v>-4.7073456244106637E-14</v>
      </c>
    </row>
    <row r="145" spans="1:15" x14ac:dyDescent="0.25">
      <c r="A145" s="9">
        <v>1.43999999999999</v>
      </c>
      <c r="B145" s="5">
        <v>1.0412403566499999</v>
      </c>
      <c r="C145" s="5">
        <v>1.2026351168896301</v>
      </c>
      <c r="D145" s="5">
        <v>1.4065683615913001</v>
      </c>
      <c r="E145" s="5">
        <v>1.6633201998068801</v>
      </c>
      <c r="F145" s="5">
        <v>1.8646832296003899</v>
      </c>
      <c r="G145" s="5">
        <v>1.9358539350916</v>
      </c>
      <c r="H145" s="5">
        <v>2.0204099090248602</v>
      </c>
      <c r="I145" s="5">
        <v>2.1328954055270501</v>
      </c>
      <c r="J145" s="1"/>
      <c r="K145" s="10">
        <f t="shared" si="8"/>
        <v>1.0754382933054838</v>
      </c>
      <c r="L145" s="10">
        <f t="shared" si="9"/>
        <v>1.2013564209676115</v>
      </c>
      <c r="M145" s="8">
        <f t="shared" si="10"/>
        <v>2.7111646261346323E-13</v>
      </c>
      <c r="N145" s="8">
        <f>B145^2* UnnormalizedLowerIncompleteGamma(2/2 + 1, (A145/B145)^(2)) + C145^2 *UnnormalizedUpperIncompleteGamma(2/3.6 + 1, (A145/C145)^(3.6)) - 1</f>
        <v>-6.4503957730721595E-14</v>
      </c>
      <c r="O145" s="8">
        <f t="shared" si="11"/>
        <v>-6.4503957730721595E-14</v>
      </c>
    </row>
    <row r="146" spans="1:15" x14ac:dyDescent="0.25">
      <c r="A146" s="9">
        <v>1.44999999999999</v>
      </c>
      <c r="B146" s="5">
        <v>1.0397853648142501</v>
      </c>
      <c r="C146" s="5">
        <v>1.20540303044203</v>
      </c>
      <c r="D146" s="5">
        <v>1.40719263166485</v>
      </c>
      <c r="E146" s="5">
        <v>1.6671483987829201</v>
      </c>
      <c r="F146" s="5">
        <v>1.8689748737654901</v>
      </c>
      <c r="G146" s="5">
        <v>1.94030938152515</v>
      </c>
      <c r="H146" s="5">
        <v>2.0250599644656599</v>
      </c>
      <c r="I146" s="5">
        <v>2.1378043509053302</v>
      </c>
      <c r="J146" s="1"/>
      <c r="K146" s="10">
        <f t="shared" si="8"/>
        <v>1.0733868413840473</v>
      </c>
      <c r="L146" s="10">
        <f t="shared" si="9"/>
        <v>1.2041385241273861</v>
      </c>
      <c r="M146" s="8">
        <f t="shared" si="10"/>
        <v>3.0331293032759277E-13</v>
      </c>
      <c r="N146" s="8">
        <f>B146^2* UnnormalizedLowerIncompleteGamma(2/2 + 1, (A146/B146)^(2)) + C146^2 *UnnormalizedUpperIncompleteGamma(2/3.6 + 1, (A146/C146)^(3.6)) - 1</f>
        <v>-6.794564910705958E-14</v>
      </c>
      <c r="O146" s="8">
        <f t="shared" si="11"/>
        <v>-6.794564910705958E-14</v>
      </c>
    </row>
    <row r="147" spans="1:15" x14ac:dyDescent="0.25">
      <c r="A147" s="9">
        <v>1.45999999999999</v>
      </c>
      <c r="B147" s="5">
        <v>1.0383786834882001</v>
      </c>
      <c r="C147" s="5">
        <v>1.20818168879709</v>
      </c>
      <c r="D147" s="5">
        <v>1.40778270188611</v>
      </c>
      <c r="E147" s="5">
        <v>1.6709914584985599</v>
      </c>
      <c r="F147" s="5">
        <v>1.8732831777246099</v>
      </c>
      <c r="G147" s="5">
        <v>1.9447821236190499</v>
      </c>
      <c r="H147" s="5">
        <v>2.02972807102226</v>
      </c>
      <c r="I147" s="5">
        <v>2.14273235238791</v>
      </c>
      <c r="J147" s="1"/>
      <c r="K147" s="10">
        <f t="shared" si="8"/>
        <v>1.0713797953852557</v>
      </c>
      <c r="L147" s="10">
        <f t="shared" si="9"/>
        <v>1.2069342430678383</v>
      </c>
      <c r="M147" s="8">
        <f t="shared" si="10"/>
        <v>3.0686564400639327E-13</v>
      </c>
      <c r="N147" s="8">
        <f>B147^2* UnnormalizedLowerIncompleteGamma(2/2 + 1, (A147/B147)^(2)) + C147^2 *UnnormalizedUpperIncompleteGamma(2/3.6 + 1, (A147/C147)^(3.6)) - 1</f>
        <v>-6.9944050551384862E-14</v>
      </c>
      <c r="O147" s="8">
        <f t="shared" si="11"/>
        <v>-6.9944050551384862E-14</v>
      </c>
    </row>
    <row r="148" spans="1:15" x14ac:dyDescent="0.25">
      <c r="A148" s="9">
        <v>1.46999999999999</v>
      </c>
      <c r="B148" s="5">
        <v>1.03701877454993</v>
      </c>
      <c r="C148" s="5">
        <v>1.2109706121888799</v>
      </c>
      <c r="D148" s="5">
        <v>1.40834021569106</v>
      </c>
      <c r="E148" s="5">
        <v>1.67484871540726</v>
      </c>
      <c r="F148" s="5">
        <v>1.8776073976016701</v>
      </c>
      <c r="G148" s="5">
        <v>1.9492713891051801</v>
      </c>
      <c r="H148" s="5">
        <v>2.0344134226947199</v>
      </c>
      <c r="I148" s="5">
        <v>2.1476785591011298</v>
      </c>
      <c r="J148" s="1"/>
      <c r="K148" s="10">
        <f t="shared" si="8"/>
        <v>1.0694160762432758</v>
      </c>
      <c r="L148" s="10">
        <f t="shared" si="9"/>
        <v>1.2097429821245624</v>
      </c>
      <c r="M148" s="8">
        <f t="shared" si="10"/>
        <v>3.0775382242609339E-13</v>
      </c>
      <c r="N148" s="8">
        <f>B148^2* UnnormalizedLowerIncompleteGamma(2/2 + 1, (A148/B148)^(2)) + C148^2 *UnnormalizedUpperIncompleteGamma(2/3.6 + 1, (A148/C148)^(3.6)) - 1</f>
        <v>-6.4503957730721595E-14</v>
      </c>
      <c r="O148" s="8">
        <f t="shared" si="11"/>
        <v>-6.4503957730721595E-14</v>
      </c>
    </row>
    <row r="149" spans="1:15" x14ac:dyDescent="0.25">
      <c r="A149" s="9">
        <v>1.47999999999999</v>
      </c>
      <c r="B149" s="5">
        <v>1.0357041480923601</v>
      </c>
      <c r="C149" s="5">
        <v>1.2137693316940901</v>
      </c>
      <c r="D149" s="5">
        <v>1.4088667448775301</v>
      </c>
      <c r="E149" s="5">
        <v>1.6787195209585399</v>
      </c>
      <c r="F149" s="5">
        <v>1.8819468063320699</v>
      </c>
      <c r="G149" s="5">
        <v>1.9537764231685399</v>
      </c>
      <c r="H149" s="5">
        <v>2.0391152316985499</v>
      </c>
      <c r="I149" s="5">
        <v>2.1526421394009199</v>
      </c>
      <c r="J149" s="1"/>
      <c r="K149" s="10">
        <f t="shared" si="8"/>
        <v>1.0674946350772034</v>
      </c>
      <c r="L149" s="10">
        <f t="shared" si="9"/>
        <v>1.2125641528490549</v>
      </c>
      <c r="M149" s="8">
        <f t="shared" si="10"/>
        <v>3.3928415632544784E-13</v>
      </c>
      <c r="N149" s="8">
        <f>B149^2* UnnormalizedLowerIncompleteGamma(2/2 + 1, (A149/B149)^(2)) + C149^2 *UnnormalizedUpperIncompleteGamma(2/3.6 + 1, (A149/C149)^(3.6)) - 1</f>
        <v>-7.0388139761234925E-14</v>
      </c>
      <c r="O149" s="8">
        <f t="shared" si="11"/>
        <v>-7.0388139761234925E-14</v>
      </c>
    </row>
    <row r="150" spans="1:15" x14ac:dyDescent="0.25">
      <c r="A150" s="9">
        <v>1.48999999999999</v>
      </c>
      <c r="B150" s="5">
        <v>1.0344333609412999</v>
      </c>
      <c r="C150" s="5">
        <v>1.21657738914719</v>
      </c>
      <c r="D150" s="5">
        <v>1.4093637924315801</v>
      </c>
      <c r="E150" s="5">
        <v>1.6826032414805501</v>
      </c>
      <c r="F150" s="5">
        <v>1.88630069353112</v>
      </c>
      <c r="G150" s="5">
        <v>1.9582964883106599</v>
      </c>
      <c r="H150" s="5">
        <v>2.04383272832216</v>
      </c>
      <c r="I150" s="5">
        <v>2.1576222807223102</v>
      </c>
      <c r="J150" s="1"/>
      <c r="K150" s="10">
        <f t="shared" si="8"/>
        <v>1.0656144522037048</v>
      </c>
      <c r="L150" s="10">
        <f t="shared" si="9"/>
        <v>1.2153971744572589</v>
      </c>
      <c r="M150" s="8">
        <f t="shared" si="10"/>
        <v>3.0686564400639327E-13</v>
      </c>
      <c r="N150" s="8">
        <f>B150^2* UnnormalizedLowerIncompleteGamma(2/2 + 1, (A150/B150)^(2)) + C150^2 *UnnormalizedUpperIncompleteGamma(2/3.6 + 1, (A150/C150)^(3.6)) - 1</f>
        <v>-7.4384942649885488E-14</v>
      </c>
      <c r="O150" s="8">
        <f t="shared" si="11"/>
        <v>-7.4384942649885488E-14</v>
      </c>
    </row>
    <row r="151" spans="1:15" x14ac:dyDescent="0.25">
      <c r="A151" s="9">
        <v>1.49999999999999</v>
      </c>
      <c r="B151" s="5">
        <v>1.0332050152118999</v>
      </c>
      <c r="C151" s="5">
        <v>1.21939433704282</v>
      </c>
      <c r="D151" s="5">
        <v>1.4098327952619101</v>
      </c>
      <c r="E151" s="5">
        <v>1.6864992580451801</v>
      </c>
      <c r="F151" s="5">
        <v>1.8906683653426899</v>
      </c>
      <c r="G151" s="5">
        <v>1.9628308641925201</v>
      </c>
      <c r="H151" s="5">
        <v>2.0485651607628901</v>
      </c>
      <c r="I151" s="5">
        <v>2.1626181894063401</v>
      </c>
      <c r="J151" s="1"/>
      <c r="K151" s="10">
        <f t="shared" si="8"/>
        <v>1.0637745361874824</v>
      </c>
      <c r="L151" s="10">
        <f t="shared" si="9"/>
        <v>1.2182414742470198</v>
      </c>
      <c r="M151" s="8">
        <f t="shared" si="10"/>
        <v>3.5305092183079978E-13</v>
      </c>
      <c r="N151" s="8">
        <f>B151^2* UnnormalizedLowerIncompleteGamma(2/2 + 1, (A151/B151)^(2)) + C151^2 *UnnormalizedUpperIncompleteGamma(2/3.6 + 1, (A151/C151)^(3.6)) - 1</f>
        <v>-7.0721206668622472E-14</v>
      </c>
      <c r="O151" s="8">
        <f t="shared" si="11"/>
        <v>-7.0721206668622472E-14</v>
      </c>
    </row>
    <row r="152" spans="1:15" x14ac:dyDescent="0.25">
      <c r="A152" s="9">
        <v>1.50999999999999</v>
      </c>
      <c r="B152" s="5">
        <v>1.0320177569037301</v>
      </c>
      <c r="C152" s="5">
        <v>1.2222197384268401</v>
      </c>
      <c r="D152" s="5">
        <v>1.4102751268434901</v>
      </c>
      <c r="E152" s="5">
        <v>1.69040696631729</v>
      </c>
      <c r="F152" s="5">
        <v>1.8950491442702899</v>
      </c>
      <c r="G152" s="5">
        <v>1.96737884745914</v>
      </c>
      <c r="H152" s="5">
        <v>2.0533117949440101</v>
      </c>
      <c r="I152" s="5">
        <v>2.1676290905068498</v>
      </c>
      <c r="J152" s="1"/>
      <c r="K152" s="10">
        <f t="shared" si="8"/>
        <v>1.0619739229278928</v>
      </c>
      <c r="L152" s="10">
        <f t="shared" si="9"/>
        <v>1.2210964879848574</v>
      </c>
      <c r="M152" s="8">
        <f t="shared" si="10"/>
        <v>3.7081449022480228E-13</v>
      </c>
      <c r="N152" s="8">
        <f>B152^2* UnnormalizedLowerIncompleteGamma(2/2 + 1, (A152/B152)^(2)) + C152^2 *UnnormalizedUpperIncompleteGamma(2/3.6 + 1, (A152/C152)^(3.6)) - 1</f>
        <v>-6.5725203057809267E-14</v>
      </c>
      <c r="O152" s="8">
        <f t="shared" si="11"/>
        <v>-6.5725203057809267E-14</v>
      </c>
    </row>
    <row r="153" spans="1:15" x14ac:dyDescent="0.25">
      <c r="A153" s="9">
        <v>1.51999999999999</v>
      </c>
      <c r="B153" s="5">
        <v>1.0308702745338501</v>
      </c>
      <c r="C153" s="5">
        <v>1.2250531667773601</v>
      </c>
      <c r="D153" s="5">
        <v>1.4106920997716299</v>
      </c>
      <c r="E153" s="5">
        <v>1.69432577639022</v>
      </c>
      <c r="F153" s="5">
        <v>1.8994423689926401</v>
      </c>
      <c r="G153" s="5">
        <v>1.9719397515481101</v>
      </c>
      <c r="H153" s="5">
        <v>2.0580719143148101</v>
      </c>
      <c r="I153" s="5">
        <v>2.1726542275794798</v>
      </c>
      <c r="J153" s="1"/>
      <c r="K153" s="10">
        <f t="shared" si="8"/>
        <v>1.0602116747801147</v>
      </c>
      <c r="L153" s="10">
        <f t="shared" si="9"/>
        <v>1.2239616602625294</v>
      </c>
      <c r="M153" s="8">
        <f t="shared" si="10"/>
        <v>3.4194869158454821E-13</v>
      </c>
      <c r="N153" s="8">
        <f>B153^2* UnnormalizedLowerIncompleteGamma(2/2 + 1, (A153/B153)^(2)) + C153^2 *UnnormalizedUpperIncompleteGamma(2/3.6 + 1, (A153/C153)^(3.6)) - 1</f>
        <v>-6.9277916736609768E-14</v>
      </c>
      <c r="O153" s="8">
        <f t="shared" si="11"/>
        <v>-6.9277916736609768E-14</v>
      </c>
    </row>
    <row r="154" spans="1:15" x14ac:dyDescent="0.25">
      <c r="A154" s="9">
        <v>1.52999999999999</v>
      </c>
      <c r="B154" s="5">
        <v>1.0297612978078099</v>
      </c>
      <c r="C154" s="5">
        <v>1.22789420587694</v>
      </c>
      <c r="D154" s="5">
        <v>1.4110849682281701</v>
      </c>
      <c r="E154" s="5">
        <v>1.69825511260899</v>
      </c>
      <c r="F154" s="5">
        <v>1.9038473941654701</v>
      </c>
      <c r="G154" s="5">
        <v>1.9765129064838201</v>
      </c>
      <c r="H154" s="5">
        <v>2.0628448196358802</v>
      </c>
      <c r="I154" s="5">
        <v>2.1776928624549301</v>
      </c>
      <c r="J154" s="1"/>
      <c r="K154" s="10">
        <f t="shared" si="8"/>
        <v>1.0584868797093554</v>
      </c>
      <c r="L154" s="10">
        <f t="shared" si="9"/>
        <v>1.2268364448239382</v>
      </c>
      <c r="M154" s="8">
        <f t="shared" si="10"/>
        <v>3.5083047578154947E-13</v>
      </c>
      <c r="N154" s="8">
        <f>B154^2* UnnormalizedLowerIncompleteGamma(2/2 + 1, (A154/B154)^(2)) + C154^2 *UnnormalizedUpperIncompleteGamma(2/3.6 + 1, (A154/C154)^(3.6)) - 1</f>
        <v>-5.9507954119908391E-14</v>
      </c>
      <c r="O154" s="8">
        <f t="shared" si="11"/>
        <v>-5.9507954119908391E-14</v>
      </c>
    </row>
    <row r="155" spans="1:15" x14ac:dyDescent="0.25">
      <c r="A155" s="9">
        <v>1.53999999999999</v>
      </c>
      <c r="B155" s="5">
        <v>1.02868959632807</v>
      </c>
      <c r="C155" s="5">
        <v>1.2307424496770201</v>
      </c>
      <c r="D155" s="5">
        <v>1.41145493036134</v>
      </c>
      <c r="E155" s="5">
        <v>1.7021944133828699</v>
      </c>
      <c r="F155" s="5">
        <v>1.9082635902113401</v>
      </c>
      <c r="G155" s="5">
        <v>1.9810976586593201</v>
      </c>
      <c r="H155" s="5">
        <v>2.0676298287514401</v>
      </c>
      <c r="I155" s="5">
        <v>2.1827442749986901</v>
      </c>
      <c r="J155" s="1"/>
      <c r="K155" s="10">
        <f t="shared" si="8"/>
        <v>1.0567986504766573</v>
      </c>
      <c r="L155" s="10">
        <f t="shared" si="9"/>
        <v>1.2297203048630017</v>
      </c>
      <c r="M155" s="8">
        <f t="shared" si="10"/>
        <v>3.4372504842394846E-13</v>
      </c>
      <c r="N155" s="8">
        <f>B155^2* UnnormalizedLowerIncompleteGamma(2/2 + 1, (A155/B155)^(2)) + C155^2 *UnnormalizedUpperIncompleteGamma(2/3.6 + 1, (A155/C155)^(3.6)) - 1</f>
        <v>-7.0388139761234925E-14</v>
      </c>
      <c r="O155" s="8">
        <f t="shared" si="11"/>
        <v>-7.0388139761234925E-14</v>
      </c>
    </row>
    <row r="156" spans="1:15" x14ac:dyDescent="0.25">
      <c r="A156" s="9">
        <v>1.5499999999999901</v>
      </c>
      <c r="B156" s="5">
        <v>1.0276539783394301</v>
      </c>
      <c r="C156" s="5">
        <v>1.2335975021557599</v>
      </c>
      <c r="D156" s="5">
        <v>1.4118031305810701</v>
      </c>
      <c r="E156" s="5">
        <v>1.7061431309886499</v>
      </c>
      <c r="F156" s="5">
        <v>1.9126903430991899</v>
      </c>
      <c r="G156" s="5">
        <v>1.98569337060739</v>
      </c>
      <c r="H156" s="5">
        <v>2.0724262763503898</v>
      </c>
      <c r="I156" s="5">
        <v>2.1878077628587298</v>
      </c>
      <c r="J156" s="1"/>
      <c r="K156" s="10">
        <f t="shared" si="8"/>
        <v>1.0551461238549342</v>
      </c>
      <c r="L156" s="10">
        <f t="shared" si="9"/>
        <v>1.2326127132931615</v>
      </c>
      <c r="M156" s="8">
        <f t="shared" si="10"/>
        <v>3.4861002973229915E-13</v>
      </c>
      <c r="N156" s="8">
        <f>B156^2* UnnormalizedLowerIncompleteGamma(2/2 + 1, (A156/B156)^(2)) + C156^2 *UnnormalizedUpperIncompleteGamma(2/3.6 + 1, (A156/C156)^(3.6)) - 1</f>
        <v>-5.7953641885433171E-14</v>
      </c>
      <c r="O156" s="8">
        <f t="shared" si="11"/>
        <v>-5.7953641885433171E-14</v>
      </c>
    </row>
    <row r="157" spans="1:15" x14ac:dyDescent="0.25">
      <c r="A157" s="9">
        <v>1.5599999999999901</v>
      </c>
      <c r="B157" s="5">
        <v>1.02665328951082</v>
      </c>
      <c r="C157" s="5">
        <v>1.2364589771700201</v>
      </c>
      <c r="D157" s="5">
        <v>1.41213066177171</v>
      </c>
      <c r="E157" s="5">
        <v>1.7100977610425001</v>
      </c>
      <c r="F157" s="5">
        <v>1.9171270541149299</v>
      </c>
      <c r="G157" s="5">
        <v>1.9902994207623601</v>
      </c>
      <c r="H157" s="5">
        <v>2.07723351371778</v>
      </c>
      <c r="I157" s="5">
        <v>2.1928826412031701</v>
      </c>
      <c r="J157" s="1"/>
      <c r="K157" s="10">
        <f t="shared" si="8"/>
        <v>1.0535284598739403</v>
      </c>
      <c r="L157" s="10">
        <f t="shared" si="9"/>
        <v>1.2355131529892642</v>
      </c>
      <c r="M157" s="8">
        <f t="shared" si="10"/>
        <v>3.1397107136399427E-13</v>
      </c>
      <c r="N157" s="8">
        <f>B157^2* UnnormalizedLowerIncompleteGamma(2/2 + 1, (A157/B157)^(2)) + C157^2 *UnnormalizedUpperIncompleteGamma(2/3.6 + 1, (A157/C157)^(3.6)) - 1</f>
        <v>-6.8056671409522096E-14</v>
      </c>
      <c r="O157" s="8">
        <f t="shared" si="11"/>
        <v>-6.8389738316909643E-14</v>
      </c>
    </row>
    <row r="158" spans="1:15" x14ac:dyDescent="0.25">
      <c r="A158" s="9">
        <v>1.5699999999999901</v>
      </c>
      <c r="B158" s="5">
        <v>1.0256864117530999</v>
      </c>
      <c r="C158" s="5">
        <v>1.23932649830262</v>
      </c>
      <c r="D158" s="5">
        <v>1.4124385674239901</v>
      </c>
      <c r="E158" s="5">
        <v>1.71394662103624</v>
      </c>
      <c r="F158" s="5">
        <v>1.9215731396244899</v>
      </c>
      <c r="G158" s="5">
        <v>1.9949152032142099</v>
      </c>
      <c r="H158" s="5">
        <v>2.0820509084780801</v>
      </c>
      <c r="I158" s="5">
        <v>2.1979682424492002</v>
      </c>
      <c r="J158" s="1"/>
      <c r="K158" s="10">
        <f t="shared" si="8"/>
        <v>1.0519448410929333</v>
      </c>
      <c r="L158" s="10">
        <f t="shared" si="9"/>
        <v>1.2384211170025872</v>
      </c>
      <c r="M158" s="8">
        <f t="shared" si="10"/>
        <v>2.8244073746463982E-13</v>
      </c>
      <c r="N158" s="8">
        <f>B158^2* UnnormalizedLowerIncompleteGamma(2/2 + 1, (A158/B158)^(2)) + C158^2 *UnnormalizedUpperIncompleteGamma(2/3.6 + 1, (A158/C158)^(3.6)) - 1</f>
        <v>-7.382983113757291E-14</v>
      </c>
      <c r="O158" s="8">
        <f t="shared" si="11"/>
        <v>-7.382983113757291E-14</v>
      </c>
    </row>
    <row r="159" spans="1:15" x14ac:dyDescent="0.25">
      <c r="A159" s="9">
        <v>1.5799999999999901</v>
      </c>
      <c r="B159" s="5">
        <v>1.02475226207204</v>
      </c>
      <c r="C159" s="5">
        <v>1.24219969870544</v>
      </c>
      <c r="D159" s="5">
        <v>1.4127278436883599</v>
      </c>
      <c r="E159" s="5">
        <v>1.7176378433274899</v>
      </c>
      <c r="F159" s="5">
        <v>1.9260280308306099</v>
      </c>
      <c r="G159" s="5">
        <v>1.9995401274559701</v>
      </c>
      <c r="H159" s="5">
        <v>2.0868778443316298</v>
      </c>
      <c r="I159" s="5">
        <v>2.2030639159849699</v>
      </c>
      <c r="J159" s="1"/>
      <c r="K159" s="10">
        <f t="shared" si="8"/>
        <v>1.0503944718998581</v>
      </c>
      <c r="L159" s="10">
        <f t="shared" si="9"/>
        <v>1.2413361087498316</v>
      </c>
      <c r="M159" s="8">
        <f t="shared" si="10"/>
        <v>3.184119634624949E-13</v>
      </c>
      <c r="N159" s="8">
        <f>B159^2* UnnormalizedLowerIncompleteGamma(2/2 + 1, (A159/B159)^(2)) + C159^2 *UnnormalizedUpperIncompleteGamma(2/3.6 + 1, (A159/C159)^(3.6)) - 1</f>
        <v>-5.9841021027295938E-14</v>
      </c>
      <c r="O159" s="8">
        <f t="shared" si="11"/>
        <v>-5.9507954119908391E-14</v>
      </c>
    </row>
    <row r="160" spans="1:15" x14ac:dyDescent="0.25">
      <c r="A160" s="9">
        <v>1.5899999999999901</v>
      </c>
      <c r="B160" s="5">
        <v>1.0238497914559701</v>
      </c>
      <c r="C160" s="5">
        <v>1.2450782209392199</v>
      </c>
      <c r="D160" s="5">
        <v>1.4129994413517</v>
      </c>
      <c r="E160" s="5">
        <v>1.72117765947881</v>
      </c>
      <c r="F160" s="5">
        <v>1.9304911735245001</v>
      </c>
      <c r="G160" s="5">
        <v>2.00417361812596</v>
      </c>
      <c r="H160" s="5">
        <v>2.0917137207856</v>
      </c>
      <c r="I160" s="5">
        <v>2.20816902788542</v>
      </c>
      <c r="J160" s="1"/>
      <c r="K160" s="10">
        <f t="shared" si="8"/>
        <v>1.0488765778359301</v>
      </c>
      <c r="L160" s="10">
        <f t="shared" si="9"/>
        <v>1.2442576421769336</v>
      </c>
      <c r="M160" s="8">
        <f t="shared" si="10"/>
        <v>2.8821389719269064E-13</v>
      </c>
      <c r="N160" s="8">
        <f>B160^2* UnnormalizedLowerIncompleteGamma(2/2 + 1, (A160/B160)^(2)) + C160^2 *UnnormalizedUpperIncompleteGamma(2/3.6 + 1, (A160/C160)^(3.6)) - 1</f>
        <v>-5.5067062021407764E-14</v>
      </c>
      <c r="O160" s="8">
        <f t="shared" si="11"/>
        <v>-5.5067062021407764E-14</v>
      </c>
    </row>
    <row r="161" spans="1:15" x14ac:dyDescent="0.25">
      <c r="A161" s="9">
        <v>1.5999999999999901</v>
      </c>
      <c r="B161" s="5">
        <v>1.0229779837973201</v>
      </c>
      <c r="C161" s="5">
        <v>1.2479617168107699</v>
      </c>
      <c r="D161" s="5">
        <v>1.4132542677394899</v>
      </c>
      <c r="E161" s="5">
        <v>1.72457206012789</v>
      </c>
      <c r="F161" s="5">
        <v>1.9349620278333499</v>
      </c>
      <c r="G161" s="5">
        <v>2.0088151147456501</v>
      </c>
      <c r="H161" s="5">
        <v>2.0965579528803602</v>
      </c>
      <c r="I161" s="5">
        <v>2.2132829606235598</v>
      </c>
      <c r="J161" s="1"/>
      <c r="K161" s="10">
        <f t="shared" si="8"/>
        <v>1.0473904049445542</v>
      </c>
      <c r="L161" s="10">
        <f t="shared" si="9"/>
        <v>1.2471852418985763</v>
      </c>
      <c r="M161" s="8">
        <f t="shared" si="10"/>
        <v>2.5668356329333619E-13</v>
      </c>
      <c r="N161" s="8">
        <f>B161^2* UnnormalizedLowerIncompleteGamma(2/2 + 1, (A161/B161)^(2)) + C161^2 *UnnormalizedUpperIncompleteGamma(2/3.6 + 1, (A161/C161)^(3.6)) - 1</f>
        <v>-6.5503158452884236E-14</v>
      </c>
      <c r="O161" s="8">
        <f t="shared" si="11"/>
        <v>-6.5503158452884236E-14</v>
      </c>
    </row>
    <row r="162" spans="1:15" x14ac:dyDescent="0.25">
      <c r="A162" s="9">
        <v>1.6099999999999901</v>
      </c>
      <c r="B162" s="5">
        <v>1.0221358548474599</v>
      </c>
      <c r="C162" s="5">
        <v>1.25084984720811</v>
      </c>
      <c r="D162" s="5">
        <v>1.4134931885457001</v>
      </c>
      <c r="E162" s="5">
        <v>1.7278268041381299</v>
      </c>
      <c r="F162" s="5">
        <v>1.9394400679647099</v>
      </c>
      <c r="G162" s="5">
        <v>2.0134640714543202</v>
      </c>
      <c r="H162" s="5">
        <v>2.10140997091258</v>
      </c>
      <c r="I162" s="5">
        <v>2.2184051127780502</v>
      </c>
      <c r="J162" s="1"/>
      <c r="K162" s="10">
        <f t="shared" si="8"/>
        <v>1.0459352191435651</v>
      </c>
      <c r="L162" s="10">
        <f t="shared" si="9"/>
        <v>1.2501184433143071</v>
      </c>
      <c r="M162" s="8">
        <f t="shared" si="10"/>
        <v>2.6423307986078726E-13</v>
      </c>
      <c r="N162" s="8">
        <f>B162^2* UnnormalizedLowerIncompleteGamma(2/2 + 1, (A162/B162)^(2)) + C162^2 *UnnormalizedUpperIncompleteGamma(2/3.6 + 1, (A162/C162)^(3.6)) - 1</f>
        <v>-5.9063864910058328E-14</v>
      </c>
      <c r="O162" s="8">
        <f t="shared" si="11"/>
        <v>-5.9063864910058328E-14</v>
      </c>
    </row>
    <row r="163" spans="1:15" x14ac:dyDescent="0.25">
      <c r="A163" s="9">
        <v>1.6199999999999899</v>
      </c>
      <c r="B163" s="5">
        <v>1.02132245120395</v>
      </c>
      <c r="C163" s="5">
        <v>1.2537422819341</v>
      </c>
      <c r="D163" s="5">
        <v>1.41371702959235</v>
      </c>
      <c r="E163" s="5">
        <v>1.73094742742032</v>
      </c>
      <c r="F163" s="5">
        <v>1.9439247819486301</v>
      </c>
      <c r="G163" s="5">
        <v>2.01811995674128</v>
      </c>
      <c r="H163" s="5">
        <v>2.1062692201557902</v>
      </c>
      <c r="I163" s="5">
        <v>2.2235348987382402</v>
      </c>
      <c r="J163" s="1"/>
      <c r="K163" s="10">
        <f t="shared" si="8"/>
        <v>1.0445103056198239</v>
      </c>
      <c r="L163" s="10">
        <f t="shared" si="9"/>
        <v>1.2530567927021892</v>
      </c>
      <c r="M163" s="8">
        <f t="shared" si="10"/>
        <v>2.4336088699783431E-13</v>
      </c>
      <c r="N163" s="8">
        <f>B163^2* UnnormalizedLowerIncompleteGamma(2/2 + 1, (A163/B163)^(2)) + C163^2 *UnnormalizedUpperIncompleteGamma(2/3.6 + 1, (A163/C163)^(3.6)) - 1</f>
        <v>-5.5289106626332796E-14</v>
      </c>
      <c r="O163" s="8">
        <f t="shared" si="11"/>
        <v>-5.5289106626332796E-14</v>
      </c>
    </row>
    <row r="164" spans="1:15" x14ac:dyDescent="0.25">
      <c r="A164" s="9">
        <v>1.6299999999999899</v>
      </c>
      <c r="B164" s="5">
        <v>1.0205368493295801</v>
      </c>
      <c r="C164" s="5">
        <v>1.2566386995391801</v>
      </c>
      <c r="D164" s="5">
        <v>1.41392657852105</v>
      </c>
      <c r="E164" s="5">
        <v>1.7339392514346099</v>
      </c>
      <c r="F164" s="5">
        <v>1.9484156713782299</v>
      </c>
      <c r="G164" s="5">
        <v>2.0227822531766</v>
      </c>
      <c r="H164" s="5">
        <v>2.1111351605792699</v>
      </c>
      <c r="I164" s="5">
        <v>2.2286717484074501</v>
      </c>
      <c r="J164" s="1"/>
      <c r="K164" s="10">
        <f t="shared" si="8"/>
        <v>1.0431149682452487</v>
      </c>
      <c r="L164" s="10">
        <f t="shared" si="9"/>
        <v>1.2559998472909206</v>
      </c>
      <c r="M164" s="8">
        <f t="shared" si="10"/>
        <v>2.5002222514558525E-13</v>
      </c>
      <c r="N164" s="8">
        <f>B164^2* UnnormalizedLowerIncompleteGamma(2/2 + 1, (A164/B164)^(2)) + C164^2 *UnnormalizedUpperIncompleteGamma(2/3.6 + 1, (A164/C164)^(3.6)) - 1</f>
        <v>-5.5289106626332796E-14</v>
      </c>
      <c r="O164" s="8">
        <f t="shared" si="11"/>
        <v>-5.4956039718945249E-14</v>
      </c>
    </row>
    <row r="165" spans="1:15" x14ac:dyDescent="0.25">
      <c r="A165" s="9">
        <v>1.6399999999999899</v>
      </c>
      <c r="B165" s="5">
        <v>1.0197781546024101</v>
      </c>
      <c r="C165" s="5">
        <v>1.2595387871535499</v>
      </c>
      <c r="D165" s="5">
        <v>1.4141225864185201</v>
      </c>
      <c r="E165" s="5">
        <v>1.73680739138221</v>
      </c>
      <c r="F165" s="5">
        <v>1.95291225114955</v>
      </c>
      <c r="G165" s="5">
        <v>2.0274504571409899</v>
      </c>
      <c r="H165" s="5">
        <v>2.11600726656622</v>
      </c>
      <c r="I165" s="5">
        <v>2.2338151069053298</v>
      </c>
      <c r="J165" s="1"/>
      <c r="K165" s="10">
        <f t="shared" si="8"/>
        <v>1.0417485290134052</v>
      </c>
      <c r="L165" s="10">
        <f t="shared" si="9"/>
        <v>1.2589471753113752</v>
      </c>
      <c r="M165" s="8">
        <f t="shared" si="10"/>
        <v>2.3803181647963356E-13</v>
      </c>
      <c r="N165" s="8">
        <f>B165^2* UnnormalizedLowerIncompleteGamma(2/2 + 1, (A165/B165)^(2)) + C165^2 *UnnormalizedUpperIncompleteGamma(2/3.6 + 1, (A165/C165)^(3.6)) - 1</f>
        <v>-5.0182080713057076E-14</v>
      </c>
      <c r="O165" s="8">
        <f t="shared" si="11"/>
        <v>-5.0182080713057076E-14</v>
      </c>
    </row>
    <row r="166" spans="1:15" x14ac:dyDescent="0.25">
      <c r="A166" s="9">
        <v>1.6499999999999899</v>
      </c>
      <c r="B166" s="5">
        <v>1.01904550039595</v>
      </c>
      <c r="C166" s="5">
        <v>1.2624422403192701</v>
      </c>
      <c r="D166" s="5">
        <v>1.4143057693783401</v>
      </c>
      <c r="E166" s="5">
        <v>1.73955676409619</v>
      </c>
      <c r="F166" s="5">
        <v>1.95741404920119</v>
      </c>
      <c r="G166" s="5">
        <v>2.0321240785555599</v>
      </c>
      <c r="H166" s="5">
        <v>2.1208850266316199</v>
      </c>
      <c r="I166" s="5">
        <v>2.23896443427018</v>
      </c>
      <c r="J166" s="1"/>
      <c r="K166" s="10">
        <f t="shared" si="8"/>
        <v>1.0404103274958183</v>
      </c>
      <c r="L166" s="10">
        <f t="shared" si="9"/>
        <v>1.2618983560285129</v>
      </c>
      <c r="M166" s="8">
        <f t="shared" si="10"/>
        <v>2.5979218776228663E-13</v>
      </c>
      <c r="N166" s="8">
        <f>B166^2* UnnormalizedLowerIncompleteGamma(2/2 + 1, (A166/B166)^(2)) + C166^2 *UnnormalizedUpperIncompleteGamma(2/3.6 + 1, (A166/C166)^(3.6)) - 1</f>
        <v>-4.3520742565306136E-14</v>
      </c>
      <c r="O166" s="8">
        <f t="shared" si="11"/>
        <v>-4.3520742565306136E-14</v>
      </c>
    </row>
    <row r="167" spans="1:15" x14ac:dyDescent="0.25">
      <c r="A167" s="9">
        <v>1.6599999999999899</v>
      </c>
      <c r="B167" s="5">
        <v>1.0183380471888599</v>
      </c>
      <c r="C167" s="5">
        <v>1.2653487628226401</v>
      </c>
      <c r="D167" s="5">
        <v>1.41447681000093</v>
      </c>
      <c r="E167" s="5">
        <v>1.7421920956405199</v>
      </c>
      <c r="F167" s="5">
        <v>1.9619206062544301</v>
      </c>
      <c r="G167" s="5">
        <v>2.0368026406119699</v>
      </c>
      <c r="H167" s="5">
        <v>2.12576794314066</v>
      </c>
      <c r="I167" s="5">
        <v>2.2441192051615602</v>
      </c>
      <c r="J167" s="1"/>
      <c r="K167" s="10">
        <f t="shared" si="8"/>
        <v>1.0390997203172097</v>
      </c>
      <c r="L167" s="10">
        <f t="shared" si="9"/>
        <v>1.26485297975462</v>
      </c>
      <c r="M167" s="8">
        <f t="shared" si="10"/>
        <v>2.2959412149248237E-13</v>
      </c>
      <c r="N167" s="8">
        <f>B167^2* UnnormalizedLowerIncompleteGamma(2/2 + 1, (A167/B167)^(2)) + C167^2 *UnnormalizedUpperIncompleteGamma(2/3.6 + 1, (A167/C167)^(3.6)) - 1</f>
        <v>-3.7636560534792807E-14</v>
      </c>
      <c r="O167" s="8">
        <f t="shared" si="11"/>
        <v>-3.7636560534792807E-14</v>
      </c>
    </row>
    <row r="168" spans="1:15" x14ac:dyDescent="0.25">
      <c r="A168" s="9">
        <v>1.6699999999999899</v>
      </c>
      <c r="B168" s="5">
        <v>1.0176549817032099</v>
      </c>
      <c r="C168" s="5">
        <v>1.2682580665272001</v>
      </c>
      <c r="D168" s="5">
        <v>1.4146363588338999</v>
      </c>
      <c r="E168" s="5">
        <v>1.7447179286266901</v>
      </c>
      <c r="F168" s="5">
        <v>1.96643147555428</v>
      </c>
      <c r="G168" s="5">
        <v>2.04148567950361</v>
      </c>
      <c r="H168" s="5">
        <v>2.1306555320281801</v>
      </c>
      <c r="I168" s="5">
        <v>2.24927890856419</v>
      </c>
      <c r="J168" s="1"/>
      <c r="K168" s="10">
        <f t="shared" si="8"/>
        <v>1.0378160806488985</v>
      </c>
      <c r="L168" s="10">
        <f t="shared" si="9"/>
        <v>1.2678106478448266</v>
      </c>
      <c r="M168" s="8">
        <f t="shared" si="10"/>
        <v>2.0294876890147862E-13</v>
      </c>
      <c r="N168" s="8">
        <f>B168^2* UnnormalizedLowerIncompleteGamma(2/2 + 1, (A168/B168)^(2)) + C168^2 *UnnormalizedUpperIncompleteGamma(2/3.6 + 1, (A168/C168)^(3.6)) - 1</f>
        <v>-3.219646771412954E-14</v>
      </c>
      <c r="O168" s="8">
        <f t="shared" si="11"/>
        <v>-3.219646771412954E-14</v>
      </c>
    </row>
    <row r="169" spans="1:15" x14ac:dyDescent="0.25">
      <c r="A169" s="9">
        <v>1.6799999999999899</v>
      </c>
      <c r="B169" s="5">
        <v>1.0169955160706701</v>
      </c>
      <c r="C169" s="5">
        <v>1.27116987120762</v>
      </c>
      <c r="D169" s="5">
        <v>1.41478503575479</v>
      </c>
      <c r="E169" s="5">
        <v>1.74713862925692</v>
      </c>
      <c r="F169" s="5">
        <v>1.97094622261198</v>
      </c>
      <c r="G169" s="5">
        <v>2.0461727441582598</v>
      </c>
      <c r="H169" s="5">
        <v>2.1355473225196202</v>
      </c>
      <c r="I169" s="5">
        <v>2.2544430474933201</v>
      </c>
      <c r="J169" s="1"/>
      <c r="K169" s="10">
        <f t="shared" si="8"/>
        <v>1.036558797719644</v>
      </c>
      <c r="L169" s="10">
        <f t="shared" si="9"/>
        <v>1.270770972675852</v>
      </c>
      <c r="M169" s="8">
        <f t="shared" si="10"/>
        <v>1.8252066524837574E-13</v>
      </c>
      <c r="N169" s="8">
        <f>B169^2* UnnormalizedLowerIncompleteGamma(2/2 + 1, (A169/B169)^(2)) + C169^2 *UnnormalizedUpperIncompleteGamma(2/3.6 + 1, (A169/C169)^(3.6)) - 1</f>
        <v>-4.0190073491430667E-14</v>
      </c>
      <c r="O169" s="8">
        <f t="shared" si="11"/>
        <v>-4.0412118096355698E-14</v>
      </c>
    </row>
    <row r="170" spans="1:15" x14ac:dyDescent="0.25">
      <c r="A170" s="9">
        <v>1.68999999999999</v>
      </c>
      <c r="B170" s="5">
        <v>1.01635888702579</v>
      </c>
      <c r="C170" s="5">
        <v>1.2740839043848</v>
      </c>
      <c r="D170" s="5">
        <v>1.41492343129819</v>
      </c>
      <c r="E170" s="5">
        <v>1.7494583941030699</v>
      </c>
      <c r="F170" s="5">
        <v>1.9754644249492299</v>
      </c>
      <c r="G170" s="5">
        <v>2.0508633959726099</v>
      </c>
      <c r="H170" s="5">
        <v>2.1404428568539502</v>
      </c>
      <c r="I170" s="5">
        <v>2.2596111387022599</v>
      </c>
      <c r="J170" s="1"/>
      <c r="K170" s="10">
        <f t="shared" si="8"/>
        <v>1.0353272763432302</v>
      </c>
      <c r="L170" s="10">
        <f t="shared" si="9"/>
        <v>1.273733577608912</v>
      </c>
      <c r="M170" s="8">
        <f t="shared" si="10"/>
        <v>1.4033219031261979E-13</v>
      </c>
      <c r="N170" s="8">
        <f>B170^2* UnnormalizedLowerIncompleteGamma(2/2 + 1, (A170/B170)^(2)) + C170^2 *UnnormalizedUpperIncompleteGamma(2/3.6 + 1, (A170/C170)^(3.6)) - 1</f>
        <v>-3.8524738954492932E-14</v>
      </c>
      <c r="O170" s="8">
        <f t="shared" si="11"/>
        <v>-3.8524738954492932E-14</v>
      </c>
    </row>
    <row r="171" spans="1:15" x14ac:dyDescent="0.25">
      <c r="A171" s="9">
        <v>1.69999999999999</v>
      </c>
      <c r="B171" s="5">
        <v>1.0157443551255201</v>
      </c>
      <c r="C171" s="5">
        <v>1.2769999011623401</v>
      </c>
      <c r="D171" s="5">
        <v>1.4150521079292799</v>
      </c>
      <c r="E171" s="5">
        <v>1.7516812566298801</v>
      </c>
      <c r="F171" s="5">
        <v>1.97998567184472</v>
      </c>
      <c r="G171" s="5">
        <v>2.0555572085490401</v>
      </c>
      <c r="H171" s="5">
        <v>2.1453416900089799</v>
      </c>
      <c r="I171" s="5">
        <v>2.2647827123924</v>
      </c>
      <c r="J171" s="1"/>
      <c r="K171" s="10">
        <f t="shared" si="8"/>
        <v>1.0341209364621395</v>
      </c>
      <c r="L171" s="10">
        <f t="shared" si="9"/>
        <v>1.2766980969377164</v>
      </c>
      <c r="M171" s="8">
        <f t="shared" si="10"/>
        <v>1.2745360322696797E-13</v>
      </c>
      <c r="N171" s="8">
        <f>B171^2* UnnormalizedLowerIncompleteGamma(2/2 + 1, (A171/B171)^(2)) + C171^2 *UnnormalizedUpperIncompleteGamma(2/3.6 + 1, (A171/C171)^(3.6)) - 1</f>
        <v>-3.4305891460917337E-14</v>
      </c>
      <c r="O171" s="8">
        <f t="shared" si="11"/>
        <v>-3.4416913763379853E-14</v>
      </c>
    </row>
    <row r="172" spans="1:15" x14ac:dyDescent="0.25">
      <c r="A172" s="9">
        <v>1.70999999999999</v>
      </c>
      <c r="B172" s="5">
        <v>1.01515120399435</v>
      </c>
      <c r="C172" s="5">
        <v>1.27991760406465</v>
      </c>
      <c r="D172" s="5">
        <v>1.4151716012656601</v>
      </c>
      <c r="E172" s="5">
        <v>1.7538110934714</v>
      </c>
      <c r="F172" s="5">
        <v>1.9845095640830901</v>
      </c>
      <c r="G172" s="5">
        <v>2.0602537674350598</v>
      </c>
      <c r="H172" s="5">
        <v>2.1502433894293902</v>
      </c>
      <c r="I172" s="5">
        <v>2.2699573119260701</v>
      </c>
      <c r="J172" s="1"/>
      <c r="K172" s="10">
        <f t="shared" si="8"/>
        <v>1.0329392127066772</v>
      </c>
      <c r="L172" s="10">
        <f t="shared" si="9"/>
        <v>1.2796641758224661</v>
      </c>
      <c r="M172" s="8">
        <f t="shared" si="10"/>
        <v>1.5099033134902129E-13</v>
      </c>
      <c r="N172" s="8">
        <f>B172^2* UnnormalizedLowerIncompleteGamma(2/2 + 1, (A172/B172)^(2)) + C172^2 *UnnormalizedUpperIncompleteGamma(2/3.6 + 1, (A172/C172)^(3.6)) - 1</f>
        <v>-3.6415315207705135E-14</v>
      </c>
      <c r="O172" s="8">
        <f t="shared" si="11"/>
        <v>-3.6415315207705135E-14</v>
      </c>
    </row>
    <row r="173" spans="1:15" x14ac:dyDescent="0.25">
      <c r="A173" s="9">
        <v>1.71999999999999</v>
      </c>
      <c r="B173" s="5">
        <v>1.0145787395942301</v>
      </c>
      <c r="C173" s="5">
        <v>1.28283676287687</v>
      </c>
      <c r="D173" s="5">
        <v>1.41528242124935</v>
      </c>
      <c r="E173" s="5">
        <v>1.7558516304690901</v>
      </c>
      <c r="F173" s="5">
        <v>1.98903571370673</v>
      </c>
      <c r="G173" s="5">
        <v>2.0649526698655798</v>
      </c>
      <c r="H173" s="5">
        <v>2.15514753475775</v>
      </c>
      <c r="I173" s="5">
        <v>2.2751344935426201</v>
      </c>
      <c r="J173" s="1"/>
      <c r="K173" s="10">
        <f t="shared" si="8"/>
        <v>1.0317815539689481</v>
      </c>
      <c r="L173" s="10">
        <f t="shared" si="9"/>
        <v>1.2826314702107471</v>
      </c>
      <c r="M173" s="8">
        <f t="shared" si="10"/>
        <v>1.2878587085651816E-13</v>
      </c>
      <c r="N173" s="8">
        <f>B173^2* UnnormalizedLowerIncompleteGamma(2/2 + 1, (A173/B173)^(2)) + C173^2 *UnnormalizedUpperIncompleteGamma(2/3.6 + 1, (A173/C173)^(3.6)) - 1</f>
        <v>-2.4202861936828413E-14</v>
      </c>
      <c r="O173" s="8">
        <f t="shared" si="11"/>
        <v>-2.4202861936828413E-14</v>
      </c>
    </row>
    <row r="174" spans="1:15" x14ac:dyDescent="0.25">
      <c r="A174" s="9">
        <v>1.72999999999999</v>
      </c>
      <c r="B174" s="5">
        <v>1.01402628951842</v>
      </c>
      <c r="C174" s="5">
        <v>1.28575713448671</v>
      </c>
      <c r="D174" s="5">
        <v>1.4153850532708701</v>
      </c>
      <c r="E174" s="5">
        <v>1.7578064484798099</v>
      </c>
      <c r="F174" s="5">
        <v>1.99356374377054</v>
      </c>
      <c r="G174" s="5">
        <v>2.0696535245083898</v>
      </c>
      <c r="H174" s="5">
        <v>2.1600537175688901</v>
      </c>
      <c r="I174" s="5">
        <v>2.2803138260779701</v>
      </c>
      <c r="J174" s="1"/>
      <c r="K174" s="10">
        <f t="shared" si="8"/>
        <v>1.0306474229911069</v>
      </c>
      <c r="L174" s="10">
        <f t="shared" si="9"/>
        <v>1.2855996467461943</v>
      </c>
      <c r="M174" s="8">
        <f t="shared" si="10"/>
        <v>1.3278267374516872E-13</v>
      </c>
      <c r="N174" s="8">
        <f>B174^2* UnnormalizedLowerIncompleteGamma(2/2 + 1, (A174/B174)^(2)) + C174^2 *UnnormalizedUpperIncompleteGamma(2/3.6 + 1, (A174/C174)^(3.6)) - 1</f>
        <v>-2.2315482794965646E-14</v>
      </c>
      <c r="O174" s="8">
        <f t="shared" si="11"/>
        <v>-2.2315482794965646E-14</v>
      </c>
    </row>
    <row r="175" spans="1:15" x14ac:dyDescent="0.25">
      <c r="A175" s="9">
        <v>1.73999999999999</v>
      </c>
      <c r="B175" s="5">
        <v>1.0134932023087799</v>
      </c>
      <c r="C175" s="5">
        <v>1.2886784827284301</v>
      </c>
      <c r="D175" s="5">
        <v>1.4154799592471099</v>
      </c>
      <c r="E175" s="5">
        <v>1.7596789889619799</v>
      </c>
      <c r="F175" s="5">
        <v>1.99809328810003</v>
      </c>
      <c r="G175" s="5">
        <v>2.0743559512129499</v>
      </c>
      <c r="H175" s="5">
        <v>2.1649615411077101</v>
      </c>
      <c r="I175" s="5">
        <v>2.2854948906878398</v>
      </c>
      <c r="J175" s="1"/>
      <c r="K175" s="10">
        <f t="shared" si="8"/>
        <v>1.0295362959673304</v>
      </c>
      <c r="L175" s="10">
        <f t="shared" si="9"/>
        <v>1.288568382665783</v>
      </c>
      <c r="M175" s="8">
        <f t="shared" si="10"/>
        <v>1.6964207816272392E-13</v>
      </c>
      <c r="N175" s="8">
        <f>B175^2* UnnormalizedLowerIncompleteGamma(2/2 + 1, (A175/B175)^(2)) + C175^2 *UnnormalizedUpperIncompleteGamma(2/3.6 + 1, (A175/C175)^(3.6)) - 1</f>
        <v>-2.19824158875781E-14</v>
      </c>
      <c r="O175" s="8">
        <f t="shared" si="11"/>
        <v>-2.19824158875781E-14</v>
      </c>
    </row>
    <row r="176" spans="1:15" x14ac:dyDescent="0.25">
      <c r="A176" s="9">
        <v>1.74999999999999</v>
      </c>
      <c r="B176" s="5">
        <v>1.0129788467955301</v>
      </c>
      <c r="C176" s="5">
        <v>1.2916005782289799</v>
      </c>
      <c r="D176" s="5">
        <v>1.4155675786547599</v>
      </c>
      <c r="E176" s="5">
        <v>1.7614725593476901</v>
      </c>
      <c r="F176" s="5">
        <v>2.0026239910527801</v>
      </c>
      <c r="G176" s="5">
        <v>2.0790595807627699</v>
      </c>
      <c r="H176" s="5">
        <v>2.1698706200307498</v>
      </c>
      <c r="I176" s="5">
        <v>2.2906772805749398</v>
      </c>
      <c r="J176" s="1"/>
      <c r="K176" s="10">
        <f t="shared" si="8"/>
        <v>1.0284476621589878</v>
      </c>
      <c r="L176" s="10">
        <f t="shared" si="9"/>
        <v>1.2915373656865792</v>
      </c>
      <c r="M176" s="8">
        <f t="shared" si="10"/>
        <v>9.4146912488213275E-14</v>
      </c>
      <c r="N176" s="8">
        <f>B176^2* UnnormalizedLowerIncompleteGamma(2/2 + 1, (A176/B176)^(2)) + C176^2 *UnnormalizedUpperIncompleteGamma(2/3.6 + 1, (A176/C176)^(3.6)) - 1</f>
        <v>-1.9317880628477724E-14</v>
      </c>
      <c r="O176" s="8">
        <f t="shared" si="11"/>
        <v>-1.9317880628477724E-14</v>
      </c>
    </row>
    <row r="177" spans="1:15" x14ac:dyDescent="0.25">
      <c r="A177" s="9">
        <v>1.75999999999999</v>
      </c>
      <c r="B177" s="5">
        <v>1.0124826114588199</v>
      </c>
      <c r="C177" s="5">
        <v>1.29452319825649</v>
      </c>
      <c r="D177" s="5">
        <v>1.41564832952109</v>
      </c>
      <c r="E177" s="5">
        <v>1.76319033820868</v>
      </c>
      <c r="F177" s="5">
        <v>2.0071555072834801</v>
      </c>
      <c r="G177" s="5">
        <v>2.0837640546315099</v>
      </c>
      <c r="H177" s="5">
        <v>2.17478058015163</v>
      </c>
      <c r="I177" s="5">
        <v>2.2958606007202098</v>
      </c>
      <c r="J177" s="1"/>
      <c r="K177" s="10">
        <f t="shared" si="8"/>
        <v>1.0273810235225036</v>
      </c>
      <c r="L177" s="10">
        <f t="shared" si="9"/>
        <v>1.2945062938827614</v>
      </c>
      <c r="M177" s="8">
        <f t="shared" si="10"/>
        <v>1.2434497875801753E-13</v>
      </c>
      <c r="N177" s="8">
        <f>B177^2* UnnormalizedLowerIncompleteGamma(2/2 + 1, (A177/B177)^(2)) + C177^2 *UnnormalizedUpperIncompleteGamma(2/3.6 + 1, (A177/C177)^(3.6)) - 1</f>
        <v>-2.4091839634365897E-14</v>
      </c>
      <c r="O177" s="8">
        <f t="shared" si="11"/>
        <v>-2.3980817331903381E-14</v>
      </c>
    </row>
    <row r="178" spans="1:15" x14ac:dyDescent="0.25">
      <c r="A178" s="9">
        <v>1.76999999999999</v>
      </c>
      <c r="B178" s="5">
        <v>1.0120039038116</v>
      </c>
      <c r="C178" s="5">
        <v>1.2974461265711099</v>
      </c>
      <c r="D178" s="5">
        <v>1.4157226093735</v>
      </c>
      <c r="E178" s="5">
        <v>1.7648353802235099</v>
      </c>
      <c r="F178" s="5">
        <v>2.0116875015126898</v>
      </c>
      <c r="G178" s="5">
        <v>2.0884690247428801</v>
      </c>
      <c r="H178" s="5">
        <v>2.1796910581904698</v>
      </c>
      <c r="I178" s="5">
        <v>2.3010444676183099</v>
      </c>
      <c r="J178" s="1"/>
      <c r="K178" s="10">
        <f t="shared" si="8"/>
        <v>1.0263358943494316</v>
      </c>
      <c r="L178" s="10">
        <f t="shared" si="9"/>
        <v>1.2974748755536958</v>
      </c>
      <c r="M178" s="8">
        <f t="shared" si="10"/>
        <v>1.0391687510491465E-13</v>
      </c>
      <c r="N178" s="8">
        <f>B178^2* UnnormalizedLowerIncompleteGamma(2/2 + 1, (A178/B178)^(2)) + C178^2 *UnnormalizedUpperIncompleteGamma(2/3.6 + 1, (A178/C178)^(3.6)) - 1</f>
        <v>-1.609823385706477E-14</v>
      </c>
      <c r="O178" s="8">
        <f t="shared" si="11"/>
        <v>-1.609823385706477E-14</v>
      </c>
    </row>
    <row r="179" spans="1:15" x14ac:dyDescent="0.25">
      <c r="A179" s="9">
        <v>1.77999999999999</v>
      </c>
      <c r="B179" s="5">
        <v>1.0115421498027499</v>
      </c>
      <c r="C179" s="5">
        <v>1.3003691532783199</v>
      </c>
      <c r="D179" s="5">
        <v>1.4157907961496801</v>
      </c>
      <c r="E179" s="5">
        <v>1.76641062095347</v>
      </c>
      <c r="F179" s="5">
        <v>2.0162196482994101</v>
      </c>
      <c r="G179" s="5">
        <v>2.0931741532345201</v>
      </c>
      <c r="H179" s="5">
        <v>2.1846017015274599</v>
      </c>
      <c r="I179" s="5">
        <v>2.3062285090174699</v>
      </c>
      <c r="J179" s="1"/>
      <c r="K179" s="10">
        <f t="shared" si="8"/>
        <v>1.0253118009182784</v>
      </c>
      <c r="L179" s="10">
        <f t="shared" si="9"/>
        <v>1.3004428290838275</v>
      </c>
      <c r="M179" s="8">
        <f t="shared" si="10"/>
        <v>1.3011813848606835E-13</v>
      </c>
      <c r="N179" s="8">
        <f>B179^2* UnnormalizedLowerIncompleteGamma(2/2 + 1, (A179/B179)^(2)) + C179^2 *UnnormalizedUpperIncompleteGamma(2/3.6 + 1, (A179/C179)^(3.6)) - 1</f>
        <v>-1.609823385706477E-14</v>
      </c>
      <c r="O179" s="8">
        <f t="shared" si="11"/>
        <v>-1.5987211554602254E-14</v>
      </c>
    </row>
    <row r="180" spans="1:15" x14ac:dyDescent="0.25">
      <c r="A180" s="9">
        <v>1.78999999999999</v>
      </c>
      <c r="B180" s="5">
        <v>1.01109679324019</v>
      </c>
      <c r="C180" s="5">
        <v>1.3032920746847501</v>
      </c>
      <c r="D180" s="5">
        <v>1.4158532490697999</v>
      </c>
      <c r="E180" s="5">
        <v>1.7679188814340501</v>
      </c>
      <c r="F180" s="5">
        <v>2.0207516318174998</v>
      </c>
      <c r="G180" s="5">
        <v>2.0978791122259501</v>
      </c>
      <c r="H180" s="5">
        <v>2.1895121679606602</v>
      </c>
      <c r="I180" s="5">
        <v>2.3114123636637798</v>
      </c>
      <c r="J180" s="1"/>
      <c r="K180" s="10">
        <f t="shared" si="8"/>
        <v>1.0243082811576378</v>
      </c>
      <c r="L180" s="10">
        <f t="shared" si="9"/>
        <v>1.3034098827951177</v>
      </c>
      <c r="M180" s="8">
        <f t="shared" si="10"/>
        <v>1.9984014443252818E-14</v>
      </c>
      <c r="N180" s="8">
        <f>B180^2* UnnormalizedLowerIncompleteGamma(2/2 + 1, (A180/B180)^(2)) + C180^2 *UnnormalizedUpperIncompleteGamma(2/3.6 + 1, (A180/C180)^(3.6)) - 1</f>
        <v>-1.787459069646502E-14</v>
      </c>
      <c r="O180" s="8">
        <f t="shared" si="11"/>
        <v>-1.787459069646502E-14</v>
      </c>
    </row>
    <row r="181" spans="1:15" x14ac:dyDescent="0.25">
      <c r="A181" s="9">
        <v>1.7999999999999901</v>
      </c>
      <c r="B181" s="5">
        <v>1.0106672952329501</v>
      </c>
      <c r="C181" s="5">
        <v>1.3062146931565699</v>
      </c>
      <c r="D181" s="5">
        <v>1.4159103094721599</v>
      </c>
      <c r="E181" s="5">
        <v>1.76936287258912</v>
      </c>
      <c r="F181" s="5">
        <v>2.0252831456361</v>
      </c>
      <c r="G181" s="5">
        <v>2.10258358359052</v>
      </c>
      <c r="H181" s="5">
        <v>2.1944221254679901</v>
      </c>
      <c r="I181" s="5">
        <v>2.3165956810499901</v>
      </c>
      <c r="J181" s="1"/>
      <c r="K181" s="10">
        <f t="shared" si="8"/>
        <v>1.023324884320211</v>
      </c>
      <c r="L181" s="10">
        <f t="shared" si="9"/>
        <v>1.3063757747927358</v>
      </c>
      <c r="M181" s="8">
        <f t="shared" si="10"/>
        <v>4.9737991503207013E-14</v>
      </c>
      <c r="N181" s="8">
        <f>B181^2* UnnormalizedLowerIncompleteGamma(2/2 + 1, (A181/B181)^(2)) + C181^2 *UnnormalizedUpperIncompleteGamma(2/3.6 + 1, (A181/C181)^(3.6)) - 1</f>
        <v>-1.1546319456101628E-14</v>
      </c>
      <c r="O181" s="8">
        <f t="shared" si="11"/>
        <v>-1.1546319456101628E-14</v>
      </c>
    </row>
    <row r="182" spans="1:15" x14ac:dyDescent="0.25">
      <c r="A182" s="9">
        <v>1.8099999999999901</v>
      </c>
      <c r="B182" s="5">
        <v>1.0102531336518901</v>
      </c>
      <c r="C182" s="5">
        <v>1.3091368169803701</v>
      </c>
      <c r="D182" s="5">
        <v>1.41596230161393</v>
      </c>
      <c r="E182" s="5">
        <v>1.7707451994743399</v>
      </c>
      <c r="F182" s="5">
        <v>2.0298138925039901</v>
      </c>
      <c r="G182" s="5">
        <v>2.1072872587316298</v>
      </c>
      <c r="H182" s="5">
        <v>2.1993312519737001</v>
      </c>
      <c r="I182" s="5">
        <v>2.3217781211688999</v>
      </c>
      <c r="J182" s="1"/>
      <c r="K182" s="10">
        <f t="shared" si="8"/>
        <v>1.0223611706673095</v>
      </c>
      <c r="L182" s="10">
        <f t="shared" si="9"/>
        <v>1.3093402528046845</v>
      </c>
      <c r="M182" s="8">
        <f t="shared" si="10"/>
        <v>0</v>
      </c>
      <c r="N182" s="8">
        <f>B182^2* UnnormalizedLowerIncompleteGamma(2/2 + 1, (A182/B182)^(2)) + C182^2 *UnnormalizedUpperIncompleteGamma(2/3.6 + 1, (A182/C182)^(3.6)) - 1</f>
        <v>-1.865174681370263E-14</v>
      </c>
      <c r="O182" s="8">
        <f t="shared" si="11"/>
        <v>-1.8429702208777599E-14</v>
      </c>
    </row>
    <row r="183" spans="1:15" x14ac:dyDescent="0.25">
      <c r="A183" s="9">
        <v>1.8199999999999901</v>
      </c>
      <c r="B183" s="5">
        <v>1.00985380260818</v>
      </c>
      <c r="C183" s="5">
        <v>1.3120582602267701</v>
      </c>
      <c r="D183" s="5">
        <v>1.4160095334381499</v>
      </c>
      <c r="E183" s="5">
        <v>1.77206836535636</v>
      </c>
      <c r="F183" s="5">
        <v>2.03434358413804</v>
      </c>
      <c r="G183" s="5">
        <v>2.11198983836303</v>
      </c>
      <c r="H183" s="5">
        <v>2.2042392351190299</v>
      </c>
      <c r="I183" s="5">
        <v>2.3269593542713101</v>
      </c>
      <c r="J183" s="1"/>
      <c r="K183" s="10">
        <f t="shared" si="8"/>
        <v>1.0214167111634556</v>
      </c>
      <c r="L183" s="10">
        <f t="shared" si="9"/>
        <v>1.3123030740160062</v>
      </c>
      <c r="M183" s="8">
        <f t="shared" si="10"/>
        <v>-9.7699626167013776E-15</v>
      </c>
      <c r="N183" s="8">
        <f>B183^2* UnnormalizedLowerIncompleteGamma(2/2 + 1, (A183/B183)^(2)) + C183^2 *UnnormalizedUpperIncompleteGamma(2/3.6 + 1, (A183/C183)^(3.6)) - 1</f>
        <v>-1.7541523789077473E-14</v>
      </c>
      <c r="O183" s="8">
        <f t="shared" si="11"/>
        <v>-1.7541523789077473E-14</v>
      </c>
    </row>
    <row r="184" spans="1:15" x14ac:dyDescent="0.25">
      <c r="A184" s="9">
        <v>1.8299999999999901</v>
      </c>
      <c r="B184" s="5">
        <v>1.00946881194909</v>
      </c>
      <c r="C184" s="5">
        <v>1.3149788426165101</v>
      </c>
      <c r="D184" s="5">
        <v>1.4160522973085701</v>
      </c>
      <c r="E184" s="5">
        <v>1.77333477563391</v>
      </c>
      <c r="F184" s="5">
        <v>2.03887194101564</v>
      </c>
      <c r="G184" s="5">
        <v>2.1166910322933701</v>
      </c>
      <c r="H184" s="5">
        <v>2.2091457720374001</v>
      </c>
      <c r="I184" s="5">
        <v>2.3321390606286698</v>
      </c>
      <c r="J184" s="1"/>
      <c r="K184" s="10">
        <f t="shared" si="8"/>
        <v>1.0204910871807045</v>
      </c>
      <c r="L184" s="10">
        <f t="shared" si="9"/>
        <v>1.3152640048981987</v>
      </c>
      <c r="M184" s="8">
        <f t="shared" si="10"/>
        <v>6.6613381477509392E-15</v>
      </c>
      <c r="N184" s="8">
        <f>B184^2* UnnormalizedLowerIncompleteGamma(2/2 + 1, (A184/B184)^(2)) + C184^2 *UnnormalizedUpperIncompleteGamma(2/3.6 + 1, (A184/C184)^(3.6)) - 1</f>
        <v>-1.4876988529977098E-14</v>
      </c>
      <c r="O184" s="8">
        <f t="shared" si="11"/>
        <v>-1.4876988529977098E-14</v>
      </c>
    </row>
    <row r="185" spans="1:15" x14ac:dyDescent="0.25">
      <c r="A185" s="9">
        <v>1.8399999999999901</v>
      </c>
      <c r="B185" s="5">
        <v>1.00909768677045</v>
      </c>
      <c r="C185" s="5">
        <v>1.31789838938922</v>
      </c>
      <c r="D185" s="5">
        <v>1.4160908707133899</v>
      </c>
      <c r="E185" s="5">
        <v>1.7745467416070699</v>
      </c>
      <c r="F185" s="5">
        <v>2.04339869217121</v>
      </c>
      <c r="G185" s="5">
        <v>2.12139055921492</v>
      </c>
      <c r="H185" s="5">
        <v>2.2140505691338799</v>
      </c>
      <c r="I185" s="5">
        <v>2.3373169303002701</v>
      </c>
      <c r="J185" s="1"/>
      <c r="K185" s="10">
        <f t="shared" si="8"/>
        <v>1.0195838902123384</v>
      </c>
      <c r="L185" s="10">
        <f t="shared" si="9"/>
        <v>1.3182228210344311</v>
      </c>
      <c r="M185" s="8">
        <f t="shared" si="10"/>
        <v>1.1546319456101628E-14</v>
      </c>
      <c r="N185" s="8">
        <f>B185^2* UnnormalizedLowerIncompleteGamma(2/2 + 1, (A185/B185)^(2)) + C185^2 *UnnormalizedUpperIncompleteGamma(2/3.6 + 1, (A185/C185)^(3.6)) - 1</f>
        <v>-1.5876189252139739E-14</v>
      </c>
      <c r="O185" s="8">
        <f t="shared" si="11"/>
        <v>-1.5876189252139739E-14</v>
      </c>
    </row>
    <row r="186" spans="1:15" x14ac:dyDescent="0.25">
      <c r="A186" s="9">
        <v>1.8499999999999901</v>
      </c>
      <c r="B186" s="5">
        <v>1.00873996694521</v>
      </c>
      <c r="C186" s="5">
        <v>1.32081673117479</v>
      </c>
      <c r="D186" s="5">
        <v>1.4161255169393301</v>
      </c>
      <c r="E186" s="5">
        <v>1.77570648410034</v>
      </c>
      <c r="F186" s="5">
        <v>2.0479235749967302</v>
      </c>
      <c r="G186" s="5">
        <v>2.12608814649654</v>
      </c>
      <c r="H186" s="5">
        <v>2.2189533418690801</v>
      </c>
      <c r="I186" s="5">
        <v>2.3424926629050802</v>
      </c>
      <c r="J186" s="1"/>
      <c r="K186" s="10">
        <f t="shared" si="8"/>
        <v>1.0186947215955879</v>
      </c>
      <c r="L186" s="10">
        <f t="shared" si="9"/>
        <v>1.3211793069411277</v>
      </c>
      <c r="M186" s="8">
        <f t="shared" si="10"/>
        <v>6.0396132539608516E-14</v>
      </c>
      <c r="N186" s="8">
        <f>B186^2* UnnormalizedLowerIncompleteGamma(2/2 + 1, (A186/B186)^(2)) + C186^2 *UnnormalizedUpperIncompleteGamma(2/3.6 + 1, (A186/C186)^(3.6)) - 1</f>
        <v>-4.6629367034256575E-15</v>
      </c>
      <c r="O186" s="8">
        <f t="shared" si="11"/>
        <v>-4.6629367034256575E-15</v>
      </c>
    </row>
    <row r="187" spans="1:15" x14ac:dyDescent="0.25">
      <c r="A187" s="9">
        <v>1.8599999999999901</v>
      </c>
      <c r="B187" s="5">
        <v>1.0083952066675299</v>
      </c>
      <c r="C187" s="5">
        <v>1.3237337038672801</v>
      </c>
      <c r="D187" s="5">
        <v>1.41615648571717</v>
      </c>
      <c r="E187" s="5">
        <v>1.77681613694525</v>
      </c>
      <c r="F187" s="5">
        <v>2.05244633504631</v>
      </c>
      <c r="G187" s="5">
        <v>2.1307835299806999</v>
      </c>
      <c r="H187" s="5">
        <v>2.2238538145473599</v>
      </c>
      <c r="I187" s="5">
        <v>2.3476659673982598</v>
      </c>
      <c r="J187" s="1"/>
      <c r="K187" s="10">
        <f t="shared" si="8"/>
        <v>1.0178231922430561</v>
      </c>
      <c r="L187" s="10">
        <f t="shared" si="9"/>
        <v>1.3241332558864636</v>
      </c>
      <c r="M187" s="8">
        <f t="shared" si="10"/>
        <v>3.3750779948604759E-14</v>
      </c>
      <c r="N187" s="8">
        <f>B187^2* UnnormalizedLowerIncompleteGamma(2/2 + 1, (A187/B187)^(2)) + C187^2 *UnnormalizedUpperIncompleteGamma(2/3.6 + 1, (A187/C187)^(3.6)) - 1</f>
        <v>-3.1086244689504383E-15</v>
      </c>
      <c r="O187" s="8">
        <f t="shared" si="11"/>
        <v>-3.1086244689504383E-15</v>
      </c>
    </row>
    <row r="188" spans="1:15" x14ac:dyDescent="0.25">
      <c r="A188" s="9">
        <v>1.8699999999999899</v>
      </c>
      <c r="B188" s="5">
        <v>1.00806297401189</v>
      </c>
      <c r="C188" s="5">
        <v>1.32664914850149</v>
      </c>
      <c r="D188" s="5">
        <v>1.41618401383992</v>
      </c>
      <c r="E188" s="5">
        <v>1.7778777503279899</v>
      </c>
      <c r="F188" s="5">
        <v>2.0569667258447302</v>
      </c>
      <c r="G188" s="5">
        <v>2.1354764537847801</v>
      </c>
      <c r="H188" s="5">
        <v>2.2287517201094502</v>
      </c>
      <c r="I188" s="5">
        <v>2.3528365618520999</v>
      </c>
      <c r="J188" s="1"/>
      <c r="K188" s="10">
        <f t="shared" si="8"/>
        <v>1.0169689223825318</v>
      </c>
      <c r="L188" s="10">
        <f t="shared" si="9"/>
        <v>1.3270844697062785</v>
      </c>
      <c r="M188" s="8">
        <f t="shared" si="10"/>
        <v>3.0198066269804258E-14</v>
      </c>
      <c r="N188" s="8">
        <f>B188^2* UnnormalizedLowerIncompleteGamma(2/2 + 1, (A188/B188)^(2)) + C188^2 *UnnormalizedUpperIncompleteGamma(2/3.6 + 1, (A188/C188)^(3.6)) - 1</f>
        <v>-6.7723604502134549E-15</v>
      </c>
      <c r="O188" s="8">
        <f t="shared" si="11"/>
        <v>-6.7723604502134549E-15</v>
      </c>
    </row>
    <row r="189" spans="1:15" x14ac:dyDescent="0.25">
      <c r="A189" s="9">
        <v>1.8799999999999899</v>
      </c>
      <c r="B189" s="5">
        <v>1.0077428505066901</v>
      </c>
      <c r="C189" s="5">
        <v>1.32956291113201</v>
      </c>
      <c r="D189" s="5">
        <v>1.41620832575468</v>
      </c>
      <c r="E189" s="5">
        <v>1.77889329400719</v>
      </c>
      <c r="F189" s="5">
        <v>2.06148450869994</v>
      </c>
      <c r="G189" s="5">
        <v>2.1401666701064199</v>
      </c>
      <c r="H189" s="5">
        <v>2.2336467999292302</v>
      </c>
      <c r="I189" s="5">
        <v>2.35800417324158</v>
      </c>
      <c r="J189" s="1"/>
      <c r="K189" s="10">
        <f t="shared" si="8"/>
        <v>1.0161315413048919</v>
      </c>
      <c r="L189" s="10">
        <f t="shared" si="9"/>
        <v>1.3300327586178979</v>
      </c>
      <c r="M189" s="8">
        <f t="shared" si="10"/>
        <v>2.6645352591003757E-14</v>
      </c>
      <c r="N189" s="8">
        <f>B189^2* UnnormalizedLowerIncompleteGamma(2/2 + 1, (A189/B189)^(2)) + C189^2 *UnnormalizedUpperIncompleteGamma(2/3.6 + 1, (A189/C189)^(3.6)) - 1</f>
        <v>-2.2204460492503131E-15</v>
      </c>
      <c r="O189" s="8">
        <f t="shared" si="11"/>
        <v>-2.2204460492503131E-15</v>
      </c>
    </row>
    <row r="190" spans="1:15" x14ac:dyDescent="0.25">
      <c r="A190" s="9">
        <v>1.8899999999999899</v>
      </c>
      <c r="B190" s="5">
        <v>1.00743443072177</v>
      </c>
      <c r="C190" s="5">
        <v>1.3324748427148101</v>
      </c>
      <c r="D190" s="5">
        <v>1.41622963412945</v>
      </c>
      <c r="E190" s="5">
        <v>1.77986466040707</v>
      </c>
      <c r="F190" s="5">
        <v>2.0659994525195202</v>
      </c>
      <c r="G190" s="5">
        <v>2.14485393903291</v>
      </c>
      <c r="H190" s="5">
        <v>2.2385388036148699</v>
      </c>
      <c r="I190" s="5">
        <v>2.3631685372344098</v>
      </c>
      <c r="J190" s="1"/>
      <c r="K190" s="10">
        <f t="shared" si="8"/>
        <v>1.0153106871198043</v>
      </c>
      <c r="L190" s="10">
        <f t="shared" si="9"/>
        <v>1.332977941032321</v>
      </c>
      <c r="M190" s="8">
        <f t="shared" si="10"/>
        <v>0</v>
      </c>
      <c r="N190" s="8">
        <f>B190^2* UnnormalizedLowerIncompleteGamma(2/2 + 1, (A190/B190)^(2)) + C190^2 *UnnormalizedUpperIncompleteGamma(2/3.6 + 1, (A190/C190)^(3.6)) - 1</f>
        <v>-1.5543122344752192E-14</v>
      </c>
      <c r="O190" s="8">
        <f t="shared" si="11"/>
        <v>-1.5543122344752192E-14</v>
      </c>
    </row>
    <row r="191" spans="1:15" x14ac:dyDescent="0.25">
      <c r="A191" s="9">
        <v>1.8999999999999899</v>
      </c>
      <c r="B191" s="5">
        <v>1.0071373218694899</v>
      </c>
      <c r="C191" s="5">
        <v>1.3353847989913901</v>
      </c>
      <c r="D191" s="5">
        <v>1.41624814039563</v>
      </c>
      <c r="E191" s="5">
        <v>1.7807936675907099</v>
      </c>
      <c r="F191" s="5">
        <v>2.0705113336309098</v>
      </c>
      <c r="G191" s="5">
        <v>2.1495380283546202</v>
      </c>
      <c r="H191" s="5">
        <v>2.2434274888140999</v>
      </c>
      <c r="I191" s="5">
        <v>2.3683293979854598</v>
      </c>
      <c r="J191" s="1"/>
      <c r="K191" s="10">
        <f t="shared" si="8"/>
        <v>1.0145060065189544</v>
      </c>
      <c r="L191" s="10">
        <f t="shared" si="9"/>
        <v>1.335919843365204</v>
      </c>
      <c r="M191" s="8">
        <f t="shared" si="10"/>
        <v>1.1146639167236572E-13</v>
      </c>
      <c r="N191" s="8">
        <f>B191^2* UnnormalizedLowerIncompleteGamma(2/2 + 1, (A191/B191)^(2)) + C191^2 *UnnormalizedUpperIncompleteGamma(2/3.6 + 1, (A191/C191)^(3.6)) - 1</f>
        <v>-8.8817841970012523E-15</v>
      </c>
      <c r="O191" s="8">
        <f t="shared" si="11"/>
        <v>-8.8817841970012523E-15</v>
      </c>
    </row>
    <row r="192" spans="1:15" x14ac:dyDescent="0.25">
      <c r="A192" s="9">
        <v>1.9099999999999899</v>
      </c>
      <c r="B192" s="5">
        <v>1.0068511434187399</v>
      </c>
      <c r="C192" s="5">
        <v>1.33829264037525</v>
      </c>
      <c r="D192" s="5">
        <v>1.41626403526754</v>
      </c>
      <c r="E192" s="5">
        <v>1.7816820621181999</v>
      </c>
      <c r="F192" s="5">
        <v>2.0750199356055901</v>
      </c>
      <c r="G192" s="5">
        <v>2.15421871338246</v>
      </c>
      <c r="H192" s="5">
        <v>2.2483126210236302</v>
      </c>
      <c r="I192" s="5">
        <v>2.3734865079355498</v>
      </c>
      <c r="J192" s="1"/>
      <c r="K192" s="10">
        <f t="shared" si="8"/>
        <v>1.0137171545465331</v>
      </c>
      <c r="L192" s="10">
        <f t="shared" si="9"/>
        <v>1.33885829984705</v>
      </c>
      <c r="M192" s="8">
        <f t="shared" si="10"/>
        <v>7.7715611723760958E-14</v>
      </c>
      <c r="N192" s="8">
        <f>B192^2* UnnormalizedLowerIncompleteGamma(2/2 + 1, (A192/B192)^(2)) + C192^2 *UnnormalizedUpperIncompleteGamma(2/3.6 + 1, (A192/C192)^(3.6)) - 1</f>
        <v>-1.2878587085651816E-14</v>
      </c>
      <c r="O192" s="8">
        <f t="shared" si="11"/>
        <v>-1.2878587085651816E-14</v>
      </c>
    </row>
    <row r="193" spans="1:15" x14ac:dyDescent="0.25">
      <c r="A193" s="9">
        <v>1.9199999999999899</v>
      </c>
      <c r="B193" s="5">
        <v>1.0065755267215299</v>
      </c>
      <c r="C193" s="5">
        <v>1.3411982318409701</v>
      </c>
      <c r="D193" s="5">
        <v>1.4162774992395899</v>
      </c>
      <c r="E193" s="5">
        <v>1.78253152179413</v>
      </c>
      <c r="F193" s="5">
        <v>2.0795250490869099</v>
      </c>
      <c r="G193" s="5">
        <v>2.1588957767690999</v>
      </c>
      <c r="H193" s="5">
        <v>2.25319397340265</v>
      </c>
      <c r="I193" s="5">
        <v>2.37863962761462</v>
      </c>
      <c r="J193" s="1"/>
      <c r="K193" s="10">
        <f t="shared" si="8"/>
        <v>1.012943794376727</v>
      </c>
      <c r="L193" s="10">
        <f t="shared" si="9"/>
        <v>1.3417931523329882</v>
      </c>
      <c r="M193" s="8">
        <f t="shared" si="10"/>
        <v>1.4210854715202004E-14</v>
      </c>
      <c r="N193" s="8">
        <f>B193^2* UnnormalizedLowerIncompleteGamma(2/2 + 1, (A193/B193)^(2)) + C193^2 *UnnormalizedUpperIncompleteGamma(2/3.6 + 1, (A193/C193)^(3.6)) - 1</f>
        <v>-1.2434497875801753E-14</v>
      </c>
      <c r="O193" s="8">
        <f t="shared" si="11"/>
        <v>-1.2434497875801753E-14</v>
      </c>
    </row>
    <row r="194" spans="1:15" x14ac:dyDescent="0.25">
      <c r="A194" s="9">
        <v>1.9299999999999899</v>
      </c>
      <c r="B194" s="5">
        <v>1.00631011465167</v>
      </c>
      <c r="C194" s="5">
        <v>1.34410144281553</v>
      </c>
      <c r="D194" s="5">
        <v>1.41628870306226</v>
      </c>
      <c r="E194" s="5">
        <v>1.78334365830891</v>
      </c>
      <c r="F194" s="5">
        <v>2.0840264716216699</v>
      </c>
      <c r="G194" s="5">
        <v>2.1635690083341599</v>
      </c>
      <c r="H194" s="5">
        <v>2.25807132659035</v>
      </c>
      <c r="I194" s="5">
        <v>2.3837885254490101</v>
      </c>
      <c r="J194" s="1"/>
      <c r="K194" s="10">
        <f t="shared" si="8"/>
        <v>1.0121855970979696</v>
      </c>
      <c r="L194" s="10">
        <f t="shared" si="9"/>
        <v>1.344724250112497</v>
      </c>
      <c r="M194" s="8">
        <f t="shared" si="10"/>
        <v>-3.8191672047105385E-14</v>
      </c>
      <c r="N194" s="8">
        <f>B194^2* UnnormalizedLowerIncompleteGamma(2/2 + 1, (A194/B194)^(2)) + C194^2 *UnnormalizedUpperIncompleteGamma(2/3.6 + 1, (A194/C194)^(3.6)) - 1</f>
        <v>-1.2212453270876722E-14</v>
      </c>
      <c r="O194" s="8">
        <f t="shared" si="11"/>
        <v>-1.2212453270876722E-14</v>
      </c>
    </row>
    <row r="195" spans="1:15" x14ac:dyDescent="0.25">
      <c r="A195" s="9">
        <v>1.93999999999999</v>
      </c>
      <c r="B195" s="5">
        <v>1.0060545612551299</v>
      </c>
      <c r="C195" s="5">
        <v>1.3470021470720499</v>
      </c>
      <c r="D195" s="5">
        <v>1.41629780819766</v>
      </c>
      <c r="E195" s="5">
        <v>1.7841200197779501</v>
      </c>
      <c r="F195" s="5">
        <v>2.08852400749534</v>
      </c>
      <c r="G195" s="5">
        <v>2.1682382048931599</v>
      </c>
      <c r="H195" s="5">
        <v>2.2629444685273299</v>
      </c>
      <c r="I195" s="5">
        <v>2.3889329775730301</v>
      </c>
      <c r="J195" s="1"/>
      <c r="K195" s="10">
        <f t="shared" ref="K195:K258" si="12">GetH1Initial(A195)</f>
        <v>1.0114422415037194</v>
      </c>
      <c r="L195" s="10">
        <f t="shared" ref="L195:L258" si="13">GetH2Initial(A195)</f>
        <v>1.347651449719409</v>
      </c>
      <c r="M195" s="8">
        <f t="shared" ref="M195:M258" si="14">(A195/B195)^2-(A195/C195)^3.6</f>
        <v>4.7961634663806763E-14</v>
      </c>
      <c r="N195" s="8">
        <f>B195^2* UnnormalizedLowerIncompleteGamma(2/2 + 1, (A195/B195)^(2)) + C195^2 *UnnormalizedUpperIncompleteGamma(2/3.6 + 1, (A195/C195)^(3.6)) - 1</f>
        <v>-2.7755575615628914E-15</v>
      </c>
      <c r="O195" s="8">
        <f t="shared" ref="O195:O258" si="15">CalculateF1_ForCell(A195,B195,C195)</f>
        <v>-2.7755575615628914E-15</v>
      </c>
    </row>
    <row r="196" spans="1:15" x14ac:dyDescent="0.25">
      <c r="A196" s="9">
        <v>1.94999999999999</v>
      </c>
      <c r="B196" s="5">
        <v>1.0058085314116501</v>
      </c>
      <c r="C196" s="5">
        <v>1.3499002226257599</v>
      </c>
      <c r="D196" s="5">
        <v>1.4163049672555199</v>
      </c>
      <c r="E196" s="5">
        <v>1.7848620931827901</v>
      </c>
      <c r="F196" s="5">
        <v>2.0930174675708302</v>
      </c>
      <c r="G196" s="5">
        <v>2.1729031700900601</v>
      </c>
      <c r="H196" s="5">
        <v>2.26781319428098</v>
      </c>
      <c r="I196" s="5">
        <v>2.3940727676445102</v>
      </c>
      <c r="J196" s="1"/>
      <c r="K196" s="10">
        <f t="shared" si="12"/>
        <v>1.0107134138895342</v>
      </c>
      <c r="L196" s="10">
        <f t="shared" si="13"/>
        <v>1.3505746147425108</v>
      </c>
      <c r="M196" s="8">
        <f t="shared" si="14"/>
        <v>-5.1070259132757201E-14</v>
      </c>
      <c r="N196" s="8">
        <f>B196^2* UnnormalizedLowerIncompleteGamma(2/2 + 1, (A196/B196)^(2)) + C196^2 *UnnormalizedUpperIncompleteGamma(2/3.6 + 1, (A196/C196)^(3.6)) - 1</f>
        <v>-8.5487172896137054E-15</v>
      </c>
      <c r="O196" s="8">
        <f t="shared" si="15"/>
        <v>-8.5487172896137054E-15</v>
      </c>
    </row>
    <row r="197" spans="1:15" x14ac:dyDescent="0.25">
      <c r="A197" s="9">
        <v>1.95999999999999</v>
      </c>
      <c r="B197" s="5">
        <v>1.00557170050718</v>
      </c>
      <c r="C197" s="5">
        <v>1.35279555163238</v>
      </c>
      <c r="D197" s="5">
        <v>1.4163103244104001</v>
      </c>
      <c r="E197" s="5">
        <v>1.7855713067181</v>
      </c>
      <c r="F197" s="5">
        <v>2.0975066691308002</v>
      </c>
      <c r="G197" s="5">
        <v>2.1775637142336</v>
      </c>
      <c r="H197" s="5">
        <v>2.27267730587451</v>
      </c>
      <c r="I197" s="5">
        <v>2.3992076866643899</v>
      </c>
      <c r="J197" s="1"/>
      <c r="K197" s="10">
        <f t="shared" si="12"/>
        <v>1.0099988078562327</v>
      </c>
      <c r="L197" s="10">
        <f t="shared" si="13"/>
        <v>1.3534936156370247</v>
      </c>
      <c r="M197" s="8">
        <f t="shared" si="14"/>
        <v>1.865174681370263E-14</v>
      </c>
      <c r="N197" s="8">
        <f>B197^2* UnnormalizedLowerIncompleteGamma(2/2 + 1, (A197/B197)^(2)) + C197^2 *UnnormalizedUpperIncompleteGamma(2/3.6 + 1, (A197/C197)^(3.6)) - 1</f>
        <v>-3.4416913763379853E-15</v>
      </c>
      <c r="O197" s="8">
        <f t="shared" si="15"/>
        <v>-3.4416913763379853E-15</v>
      </c>
    </row>
    <row r="198" spans="1:15" x14ac:dyDescent="0.25">
      <c r="A198" s="9">
        <v>1.96999999999999</v>
      </c>
      <c r="B198" s="5">
        <v>1.00534375411682</v>
      </c>
      <c r="C198" s="5">
        <v>1.3556880202885</v>
      </c>
      <c r="D198" s="5">
        <v>1.4163140158010299</v>
      </c>
      <c r="E198" s="5">
        <v>1.7862490320481801</v>
      </c>
      <c r="F198" s="5">
        <v>2.10199143572332</v>
      </c>
      <c r="G198" s="5">
        <v>2.1822196541371</v>
      </c>
      <c r="H198" s="5">
        <v>2.2775366121198499</v>
      </c>
      <c r="I198" s="5">
        <v>2.4043375328002901</v>
      </c>
      <c r="J198" s="1"/>
      <c r="K198" s="10">
        <f t="shared" si="12"/>
        <v>1.0092981241189283</v>
      </c>
      <c r="L198" s="10">
        <f t="shared" si="13"/>
        <v>1.3564083295372433</v>
      </c>
      <c r="M198" s="8">
        <f t="shared" si="14"/>
        <v>3.4638958368304884E-14</v>
      </c>
      <c r="N198" s="8">
        <f>B198^2* UnnormalizedLowerIncompleteGamma(2/2 + 1, (A198/B198)^(2)) + C198^2 *UnnormalizedUpperIncompleteGamma(2/3.6 + 1, (A198/C198)^(3.6)) - 1</f>
        <v>-1.1768364061026659E-14</v>
      </c>
      <c r="O198" s="8">
        <f t="shared" si="15"/>
        <v>-1.1768364061026659E-14</v>
      </c>
    </row>
    <row r="199" spans="1:15" x14ac:dyDescent="0.25">
      <c r="A199" s="9">
        <v>1.97999999999999</v>
      </c>
      <c r="B199" s="5">
        <v>1.00512438769784</v>
      </c>
      <c r="C199" s="5">
        <v>1.3585775187343301</v>
      </c>
      <c r="D199" s="5">
        <v>1.4163161699122899</v>
      </c>
      <c r="E199" s="5">
        <v>1.78689658647665</v>
      </c>
      <c r="F199" s="5">
        <v>2.1064715970110002</v>
      </c>
      <c r="G199" s="5">
        <v>2.1868708129617902</v>
      </c>
      <c r="H199" s="5">
        <v>2.28239092845411</v>
      </c>
      <c r="I199" s="5">
        <v>2.4094621112138399</v>
      </c>
      <c r="J199" s="1"/>
      <c r="K199" s="10">
        <f t="shared" si="12"/>
        <v>1.0086110703217388</v>
      </c>
      <c r="L199" s="10">
        <f t="shared" si="13"/>
        <v>1.3593186400705668</v>
      </c>
      <c r="M199" s="8">
        <f t="shared" si="14"/>
        <v>5.2846615972157451E-14</v>
      </c>
      <c r="N199" s="8">
        <f>B199^2* UnnormalizedLowerIncompleteGamma(2/2 + 1, (A199/B199)^(2)) + C199^2 *UnnormalizedUpperIncompleteGamma(2/3.6 + 1, (A199/C199)^(3.6)) - 1</f>
        <v>-1.3211653993039363E-14</v>
      </c>
      <c r="O199" s="8">
        <f t="shared" si="15"/>
        <v>-1.3433698597964394E-14</v>
      </c>
    </row>
    <row r="200" spans="1:15" x14ac:dyDescent="0.25">
      <c r="A200" s="9">
        <v>1.98999999999999</v>
      </c>
      <c r="B200" s="5">
        <v>1.00491330629241</v>
      </c>
      <c r="C200" s="5">
        <v>1.3614639409584399</v>
      </c>
      <c r="D200" s="5">
        <v>1.41631690794081</v>
      </c>
      <c r="E200" s="5">
        <v>1.78751523503257</v>
      </c>
      <c r="F200" s="5">
        <v>2.1109419708441299</v>
      </c>
      <c r="G200" s="5">
        <v>2.1915170200635101</v>
      </c>
      <c r="H200" s="5">
        <v>2.28724007677957</v>
      </c>
      <c r="I200" s="5">
        <v>2.4145812338918198</v>
      </c>
      <c r="J200" s="1"/>
      <c r="K200" s="10">
        <f t="shared" si="12"/>
        <v>1.0079373608579785</v>
      </c>
      <c r="L200" s="10">
        <f t="shared" si="13"/>
        <v>1.3622244371731684</v>
      </c>
      <c r="M200" s="8">
        <f t="shared" si="14"/>
        <v>9.1038288019262836E-14</v>
      </c>
      <c r="N200" s="8">
        <f>B200^2* UnnormalizedLowerIncompleteGamma(2/2 + 1, (A200/B200)^(2)) + C200^2 *UnnormalizedUpperIncompleteGamma(2/3.6 + 1, (A200/C200)^(3.6)) - 1</f>
        <v>-1.0769163338864018E-14</v>
      </c>
      <c r="O200" s="8">
        <f t="shared" si="15"/>
        <v>-1.0769163338864018E-14</v>
      </c>
    </row>
    <row r="201" spans="1:15" x14ac:dyDescent="0.25">
      <c r="A201" s="9">
        <v>1.99999999999999</v>
      </c>
      <c r="B201" s="5">
        <v>1.0047102242397501</v>
      </c>
      <c r="C201" s="5">
        <v>1.36434718470462</v>
      </c>
      <c r="D201" s="5">
        <v>1.41631634414464</v>
      </c>
      <c r="E201" s="5">
        <v>1.78810619247658</v>
      </c>
      <c r="F201" s="5">
        <v>2.1152763466100701</v>
      </c>
      <c r="G201" s="5">
        <v>2.1961581108428301</v>
      </c>
      <c r="H201" s="5">
        <v>2.29208388530729</v>
      </c>
      <c r="I201" s="5">
        <v>2.4196947194809901</v>
      </c>
      <c r="J201" s="1"/>
      <c r="K201" s="10">
        <f t="shared" si="12"/>
        <v>1.0072767166956476</v>
      </c>
      <c r="L201" s="10">
        <f t="shared" si="13"/>
        <v>1.3651256169075026</v>
      </c>
      <c r="M201" s="8">
        <f t="shared" si="14"/>
        <v>4.3520742565306136E-14</v>
      </c>
      <c r="N201" s="8">
        <f>B201^2* UnnormalizedLowerIncompleteGamma(2/2 + 1, (A201/B201)^(2)) + C201^2 *UnnormalizedUpperIncompleteGamma(2/3.6 + 1, (A201/C201)^(3.6)) - 1</f>
        <v>-8.992806499463768E-15</v>
      </c>
      <c r="O201" s="8">
        <f t="shared" si="15"/>
        <v>-8.992806499463768E-15</v>
      </c>
    </row>
    <row r="202" spans="1:15" x14ac:dyDescent="0.25">
      <c r="A202" s="9">
        <v>2.00999999999999</v>
      </c>
      <c r="B202" s="5">
        <v>1.0045148648972999</v>
      </c>
      <c r="C202" s="5">
        <v>1.3672271513807901</v>
      </c>
      <c r="D202" s="5">
        <v>1.4163145861778199</v>
      </c>
      <c r="E202" s="5">
        <v>1.78867062522992</v>
      </c>
      <c r="F202" s="5">
        <v>2.1194256365686202</v>
      </c>
      <c r="G202" s="5">
        <v>2.2007939265983398</v>
      </c>
      <c r="H202" s="5">
        <v>2.2969221884039599</v>
      </c>
      <c r="I202" s="5">
        <v>2.4248023931264902</v>
      </c>
      <c r="J202" s="1"/>
      <c r="K202" s="10">
        <f t="shared" si="12"/>
        <v>1.0066288652080417</v>
      </c>
      <c r="L202" s="10">
        <f t="shared" si="13"/>
        <v>1.3680220812818444</v>
      </c>
      <c r="M202" s="8">
        <f t="shared" si="14"/>
        <v>-7.9936057773011271E-15</v>
      </c>
      <c r="N202" s="8">
        <f>B202^2* UnnormalizedLowerIncompleteGamma(2/2 + 1, (A202/B202)^(2)) + C202^2 *UnnormalizedUpperIncompleteGamma(2/3.6 + 1, (A202/C202)^(3.6)) - 1</f>
        <v>-1.4654943925052066E-14</v>
      </c>
      <c r="O202" s="8">
        <f t="shared" si="15"/>
        <v>-1.4876988529977098E-14</v>
      </c>
    </row>
    <row r="203" spans="1:15" x14ac:dyDescent="0.25">
      <c r="A203" s="9">
        <v>2.0199999999999898</v>
      </c>
      <c r="B203" s="5">
        <v>1.0043269603706599</v>
      </c>
      <c r="C203" s="5">
        <v>1.3701037459698699</v>
      </c>
      <c r="D203" s="5">
        <v>1.41631173541039</v>
      </c>
      <c r="E203" s="5">
        <v>1.78920965322963</v>
      </c>
      <c r="F203" s="5">
        <v>2.1233972602804498</v>
      </c>
      <c r="G203" s="5">
        <v>2.2054243143832299</v>
      </c>
      <c r="H203" s="5">
        <v>2.3017548264422101</v>
      </c>
      <c r="I203" s="5">
        <v>2.4299040863137602</v>
      </c>
      <c r="J203" s="1"/>
      <c r="K203" s="10">
        <f t="shared" si="12"/>
        <v>1.0059935400093101</v>
      </c>
      <c r="L203" s="10">
        <f t="shared" si="13"/>
        <v>1.3709137380720382</v>
      </c>
      <c r="M203" s="8">
        <f t="shared" si="14"/>
        <v>7.1054273576010019E-15</v>
      </c>
      <c r="N203" s="8">
        <f>B203^2* UnnormalizedLowerIncompleteGamma(2/2 + 1, (A203/B203)^(2)) + C203^2 *UnnormalizedUpperIncompleteGamma(2/3.6 + 1, (A203/C203)^(3.6)) - 1</f>
        <v>-6.4392935428259079E-15</v>
      </c>
      <c r="O203" s="8">
        <f t="shared" si="15"/>
        <v>-6.4392935428259079E-15</v>
      </c>
    </row>
    <row r="204" spans="1:15" x14ac:dyDescent="0.25">
      <c r="A204" s="9">
        <v>2.02999999999999</v>
      </c>
      <c r="B204" s="5">
        <v>1.0041462512518899</v>
      </c>
      <c r="C204" s="5">
        <v>1.3729768769425501</v>
      </c>
      <c r="D204" s="5">
        <v>1.4163078872344901</v>
      </c>
      <c r="E204" s="5">
        <v>1.78972435171265</v>
      </c>
      <c r="F204" s="5">
        <v>2.1271983561549499</v>
      </c>
      <c r="G204" s="5">
        <v>2.2100491268649001</v>
      </c>
      <c r="H204" s="5">
        <v>2.3065816456541199</v>
      </c>
      <c r="I204" s="5">
        <v>2.43499963671391</v>
      </c>
      <c r="J204" s="1"/>
      <c r="K204" s="10">
        <f t="shared" si="12"/>
        <v>1.0053704807947961</v>
      </c>
      <c r="L204" s="10">
        <f t="shared" si="13"/>
        <v>1.3738005006456127</v>
      </c>
      <c r="M204" s="8">
        <f t="shared" si="14"/>
        <v>5.8619775700208265E-14</v>
      </c>
      <c r="N204" s="8">
        <f>B204^2* UnnormalizedLowerIncompleteGamma(2/2 + 1, (A204/B204)^(2)) + C204^2 *UnnormalizedUpperIncompleteGamma(2/3.6 + 1, (A204/C204)^(3.6)) - 1</f>
        <v>-7.3274719625260332E-15</v>
      </c>
      <c r="O204" s="8">
        <f t="shared" si="15"/>
        <v>-7.3274719625260332E-15</v>
      </c>
    </row>
    <row r="205" spans="1:15" x14ac:dyDescent="0.25">
      <c r="A205" s="9">
        <v>2.0399999999999898</v>
      </c>
      <c r="B205" s="5">
        <v>1.003972486366</v>
      </c>
      <c r="C205" s="5">
        <v>1.3758464561720201</v>
      </c>
      <c r="D205" s="5">
        <v>1.41630313135708</v>
      </c>
      <c r="E205" s="5">
        <v>1.7902157529317499</v>
      </c>
      <c r="F205" s="5">
        <v>2.13083579175228</v>
      </c>
      <c r="G205" s="5">
        <v>2.2146682221876799</v>
      </c>
      <c r="H205" s="5">
        <v>2.3114024979879102</v>
      </c>
      <c r="I205" s="5">
        <v>2.4400888880324301</v>
      </c>
      <c r="J205" s="1"/>
      <c r="K205" s="10">
        <f t="shared" si="12"/>
        <v>1.0047594331860059</v>
      </c>
      <c r="L205" s="10">
        <f t="shared" si="13"/>
        <v>1.3766822877884033</v>
      </c>
      <c r="M205" s="8">
        <f t="shared" si="14"/>
        <v>3.1086244689504383E-14</v>
      </c>
      <c r="N205" s="8">
        <f>B205^2* UnnormalizedLowerIncompleteGamma(2/2 + 1, (A205/B205)^(2)) + C205^2 *UnnormalizedUpperIncompleteGamma(2/3.6 + 1, (A205/C205)^(3.6)) - 1</f>
        <v>-1.0769163338864018E-14</v>
      </c>
      <c r="O205" s="8">
        <f t="shared" si="15"/>
        <v>-1.0769163338864018E-14</v>
      </c>
    </row>
    <row r="206" spans="1:15" x14ac:dyDescent="0.25">
      <c r="A206" s="9">
        <v>2.0499999999999901</v>
      </c>
      <c r="B206" s="5">
        <v>1.00380542252521</v>
      </c>
      <c r="C206" s="5">
        <v>1.3787123988505099</v>
      </c>
      <c r="D206" s="5">
        <v>1.41629755207985</v>
      </c>
      <c r="E206" s="5">
        <v>1.79068484780596</v>
      </c>
      <c r="F206" s="5">
        <v>2.1343161737045802</v>
      </c>
      <c r="G206" s="5">
        <v>2.2192814638384402</v>
      </c>
      <c r="H206" s="5">
        <v>2.3162172409677302</v>
      </c>
      <c r="I206" s="5">
        <v>2.4451716898611999</v>
      </c>
      <c r="J206" s="1"/>
      <c r="K206" s="10">
        <f t="shared" si="12"/>
        <v>1.0041601485800478</v>
      </c>
      <c r="L206" s="10">
        <f t="shared" si="13"/>
        <v>1.3795590235338175</v>
      </c>
      <c r="M206" s="8">
        <f t="shared" si="14"/>
        <v>-2.4868995751603507E-14</v>
      </c>
      <c r="N206" s="8">
        <f>B206^2* UnnormalizedLowerIncompleteGamma(2/2 + 1, (A206/B206)^(2)) + C206^2 *UnnormalizedUpperIncompleteGamma(2/3.6 + 1, (A206/C206)^(3.6)) - 1</f>
        <v>-1.2989609388114332E-14</v>
      </c>
      <c r="O206" s="8">
        <f t="shared" si="15"/>
        <v>-1.2989609388114332E-14</v>
      </c>
    </row>
    <row r="207" spans="1:15" x14ac:dyDescent="0.25">
      <c r="A207" s="9">
        <v>2.0599999999999898</v>
      </c>
      <c r="B207" s="5">
        <v>1.0036448242908</v>
      </c>
      <c r="C207" s="5">
        <v>1.38157462340763</v>
      </c>
      <c r="D207" s="5">
        <v>1.41629122856694</v>
      </c>
      <c r="E207" s="5">
        <v>1.79113258750798</v>
      </c>
      <c r="F207" s="5">
        <v>2.1376458572711501</v>
      </c>
      <c r="G207" s="5">
        <v>2.2238887205152098</v>
      </c>
      <c r="H207" s="5">
        <v>2.32102573755646</v>
      </c>
      <c r="I207" s="5">
        <v>2.4502478975336</v>
      </c>
      <c r="J207" s="1"/>
      <c r="K207" s="10">
        <f t="shared" si="12"/>
        <v>1.003572384003399</v>
      </c>
      <c r="L207" s="10">
        <f t="shared" si="13"/>
        <v>1.3824306369948465</v>
      </c>
      <c r="M207" s="8">
        <f t="shared" si="14"/>
        <v>2.2204460492503131E-14</v>
      </c>
      <c r="N207" s="8">
        <f>B207^2* UnnormalizedLowerIncompleteGamma(2/2 + 1, (A207/B207)^(2)) + C207^2 *UnnormalizedUpperIncompleteGamma(2/3.6 + 1, (A207/C207)^(3.6)) - 1</f>
        <v>-4.2188474935755949E-15</v>
      </c>
      <c r="O207" s="8">
        <f t="shared" si="15"/>
        <v>-4.4408920985006262E-15</v>
      </c>
    </row>
    <row r="208" spans="1:15" x14ac:dyDescent="0.25">
      <c r="A208" s="9">
        <v>2.0699999999999901</v>
      </c>
      <c r="B208" s="5">
        <v>1.0034904637422399</v>
      </c>
      <c r="C208" s="5">
        <v>1.3844330514304299</v>
      </c>
      <c r="D208" s="5">
        <v>1.41628423510081</v>
      </c>
      <c r="E208" s="5">
        <v>1.79155988499125</v>
      </c>
      <c r="F208" s="5">
        <v>2.1408309555418099</v>
      </c>
      <c r="G208" s="5">
        <v>2.22848986599849</v>
      </c>
      <c r="H208" s="5">
        <v>2.3258278560214798</v>
      </c>
      <c r="I208" s="5">
        <v>2.45531737198286</v>
      </c>
      <c r="J208" s="1"/>
      <c r="K208" s="10">
        <f t="shared" si="12"/>
        <v>1.0029959019698578</v>
      </c>
      <c r="L208" s="10">
        <f t="shared" si="13"/>
        <v>1.3852970621989333</v>
      </c>
      <c r="M208" s="8">
        <f t="shared" si="14"/>
        <v>3.730349362740526E-14</v>
      </c>
      <c r="N208" s="8">
        <f>B208^2* UnnormalizedLowerIncompleteGamma(2/2 + 1, (A208/B208)^(2)) + C208^2 *UnnormalizedUpperIncompleteGamma(2/3.6 + 1, (A208/C208)^(3.6)) - 1</f>
        <v>-3.9968028886505635E-15</v>
      </c>
      <c r="O208" s="8">
        <f t="shared" si="15"/>
        <v>-3.9968028886505635E-15</v>
      </c>
    </row>
    <row r="209" spans="1:15" x14ac:dyDescent="0.25">
      <c r="A209" s="9">
        <v>2.0799999999999899</v>
      </c>
      <c r="B209" s="5">
        <v>1.0033421202533701</v>
      </c>
      <c r="C209" s="5">
        <v>1.38728760758525</v>
      </c>
      <c r="D209" s="5">
        <v>1.4162766413269301</v>
      </c>
      <c r="E209" s="5">
        <v>1.7919676164588201</v>
      </c>
      <c r="F209" s="5">
        <v>2.1438773483019902</v>
      </c>
      <c r="G209" s="5">
        <v>2.2330847790254298</v>
      </c>
      <c r="H209" s="5">
        <v>2.3306234698033101</v>
      </c>
      <c r="I209" s="5">
        <v>2.4603799796033599</v>
      </c>
      <c r="J209" s="1"/>
      <c r="K209" s="10">
        <f t="shared" si="12"/>
        <v>1.0024304703425424</v>
      </c>
      <c r="L209" s="10">
        <f t="shared" si="13"/>
        <v>1.3881582379257809</v>
      </c>
      <c r="M209" s="8">
        <f t="shared" si="14"/>
        <v>-3.1086244689504383E-14</v>
      </c>
      <c r="N209" s="8">
        <f>B209^2* UnnormalizedLowerIncompleteGamma(2/2 + 1, (A209/B209)^(2)) + C209^2 *UnnormalizedUpperIncompleteGamma(2/3.6 + 1, (A209/C209)^(3.6)) - 1</f>
        <v>-2.3314683517128287E-15</v>
      </c>
      <c r="O209" s="8">
        <f t="shared" si="15"/>
        <v>-2.3314683517128287E-15</v>
      </c>
    </row>
    <row r="210" spans="1:15" x14ac:dyDescent="0.25">
      <c r="A210" s="9">
        <v>2.0899999999999901</v>
      </c>
      <c r="B210" s="5">
        <v>1.00319958027533</v>
      </c>
      <c r="C210" s="5">
        <v>1.39013821954119</v>
      </c>
      <c r="D210" s="5">
        <v>1.41626851248761</v>
      </c>
      <c r="E210" s="5">
        <v>1.79235662277645</v>
      </c>
      <c r="F210" s="5">
        <v>2.1467906905727001</v>
      </c>
      <c r="G210" s="5">
        <v>2.2376733431666498</v>
      </c>
      <c r="H210" s="5">
        <v>2.33541245738706</v>
      </c>
      <c r="I210" s="5">
        <v>2.4654355921149</v>
      </c>
      <c r="J210" s="1"/>
      <c r="K210" s="10">
        <f t="shared" si="12"/>
        <v>1.0018758621998112</v>
      </c>
      <c r="L210" s="10">
        <f t="shared" si="13"/>
        <v>1.3910141075481779</v>
      </c>
      <c r="M210" s="8">
        <f t="shared" si="14"/>
        <v>0</v>
      </c>
      <c r="N210" s="8">
        <f>B210^2* UnnormalizedLowerIncompleteGamma(2/2 + 1, (A210/B210)^(2)) + C210^2 *UnnormalizedUpperIncompleteGamma(2/3.6 + 1, (A210/C210)^(3.6)) - 1</f>
        <v>-7.5495165674510645E-15</v>
      </c>
      <c r="O210" s="8">
        <f t="shared" si="15"/>
        <v>-7.5495165674510645E-15</v>
      </c>
    </row>
    <row r="211" spans="1:15" x14ac:dyDescent="0.25">
      <c r="A211" s="9">
        <v>2.0999999999999899</v>
      </c>
      <c r="B211" s="5">
        <v>1.0030626371261</v>
      </c>
      <c r="C211" s="5">
        <v>1.39298481789519</v>
      </c>
      <c r="D211" s="5">
        <v>1.41625990964548</v>
      </c>
      <c r="E211" s="5">
        <v>1.7927277108321</v>
      </c>
      <c r="F211" s="5">
        <v>2.14957642083789</v>
      </c>
      <c r="G211" s="5">
        <v>2.2422554467056401</v>
      </c>
      <c r="H211" s="5">
        <v>2.3401947021765799</v>
      </c>
      <c r="I211" s="5">
        <v>2.4704840864298898</v>
      </c>
      <c r="J211" s="1"/>
      <c r="K211" s="10">
        <f t="shared" si="12"/>
        <v>1.0013318557049704</v>
      </c>
      <c r="L211" s="10">
        <f t="shared" si="13"/>
        <v>1.3938646188759052</v>
      </c>
      <c r="M211" s="8">
        <f t="shared" si="14"/>
        <v>1.0658141036401503E-14</v>
      </c>
      <c r="N211" s="8">
        <f>B211^2* UnnormalizedLowerIncompleteGamma(2/2 + 1, (A211/B211)^(2)) + C211^2 *UnnormalizedUpperIncompleteGamma(2/3.6 + 1, (A211/C211)^(3.6)) - 1</f>
        <v>-1.1990408665951691E-14</v>
      </c>
      <c r="O211" s="8">
        <f t="shared" si="15"/>
        <v>-1.1768364061026659E-14</v>
      </c>
    </row>
    <row r="212" spans="1:15" x14ac:dyDescent="0.25">
      <c r="A212" s="9">
        <v>2.1099999999999901</v>
      </c>
      <c r="B212" s="5">
        <v>1.00293109078631</v>
      </c>
      <c r="C212" s="5">
        <v>1.3958273360987501</v>
      </c>
      <c r="D212" s="5">
        <v>1.41625088989713</v>
      </c>
      <c r="E212" s="5">
        <v>1.7930816548438999</v>
      </c>
      <c r="F212" s="5">
        <v>2.1522397689711199</v>
      </c>
      <c r="G212" s="5">
        <v>2.2468309825208199</v>
      </c>
      <c r="H212" s="5">
        <v>2.3449700923713199</v>
      </c>
      <c r="I212" s="5">
        <v>2.4755253445233398</v>
      </c>
      <c r="J212" s="1"/>
      <c r="K212" s="10">
        <f t="shared" si="12"/>
        <v>1.0007982339796553</v>
      </c>
      <c r="L212" s="10">
        <f t="shared" si="13"/>
        <v>1.3967097240027817</v>
      </c>
      <c r="M212" s="8">
        <f t="shared" si="14"/>
        <v>5.1514348342607263E-14</v>
      </c>
      <c r="N212" s="8">
        <f>B212^2* UnnormalizedLowerIncompleteGamma(2/2 + 1, (A212/B212)^(2)) + C212^2 *UnnormalizedUpperIncompleteGamma(2/3.6 + 1, (A212/C212)^(3.6)) - 1</f>
        <v>-3.5527136788005009E-15</v>
      </c>
      <c r="O212" s="8">
        <f t="shared" si="15"/>
        <v>-3.5527136788005009E-15</v>
      </c>
    </row>
    <row r="213" spans="1:15" x14ac:dyDescent="0.25">
      <c r="A213" s="9">
        <v>2.1199999999999899</v>
      </c>
      <c r="B213" s="5">
        <v>1.0028047477011699</v>
      </c>
      <c r="C213" s="5">
        <v>1.39866571038613</v>
      </c>
      <c r="D213" s="5">
        <v>1.4162415065771301</v>
      </c>
      <c r="E213" s="5">
        <v>1.7934191976185601</v>
      </c>
      <c r="F213" s="5">
        <v>2.1547857638733299</v>
      </c>
      <c r="G213" s="5">
        <v>2.2513998479699699</v>
      </c>
      <c r="H213" s="5">
        <v>2.3497385208457602</v>
      </c>
      <c r="I213" s="5">
        <v>2.4805592533055698</v>
      </c>
      <c r="J213" s="1"/>
      <c r="K213" s="10">
        <f t="shared" si="12"/>
        <v>1.0002747849807616</v>
      </c>
      <c r="L213" s="10">
        <f t="shared" si="13"/>
        <v>1.3995493791568892</v>
      </c>
      <c r="M213" s="8">
        <f t="shared" si="14"/>
        <v>2.3092638912203256E-14</v>
      </c>
      <c r="N213" s="8">
        <f>B213^2* UnnormalizedLowerIncompleteGamma(2/2 + 1, (A213/B213)^(2)) + C213^2 *UnnormalizedUpperIncompleteGamma(2/3.6 + 1, (A213/C213)^(3.6)) - 1</f>
        <v>0</v>
      </c>
      <c r="O213" s="8">
        <f t="shared" si="15"/>
        <v>0</v>
      </c>
    </row>
    <row r="214" spans="1:15" x14ac:dyDescent="0.25">
      <c r="A214" s="9">
        <v>2.1299999999999901</v>
      </c>
      <c r="B214" s="5">
        <v>1.0026834205883099</v>
      </c>
      <c r="C214" s="5">
        <v>1.40149987970414</v>
      </c>
      <c r="D214" s="5">
        <v>1.4162318094530399</v>
      </c>
      <c r="E214" s="5">
        <v>1.7937410517622201</v>
      </c>
      <c r="F214" s="5">
        <v>2.1572192408324802</v>
      </c>
      <c r="G214" s="5">
        <v>2.2559619447771699</v>
      </c>
      <c r="H214" s="5">
        <v>2.3544998850314101</v>
      </c>
      <c r="I214" s="5">
        <v>2.4855857044976002</v>
      </c>
      <c r="J214" s="1"/>
      <c r="K214" s="10">
        <f t="shared" si="12"/>
        <v>0.99976130138081776</v>
      </c>
      <c r="L214" s="10">
        <f t="shared" si="13"/>
        <v>1.4023835445540165</v>
      </c>
      <c r="M214" s="8">
        <f t="shared" si="14"/>
        <v>5.6843418860808015E-14</v>
      </c>
      <c r="N214" s="8">
        <f>B214^2* UnnormalizedLowerIncompleteGamma(2/2 + 1, (A214/B214)^(2)) + C214^2 *UnnormalizedUpperIncompleteGamma(2/3.6 + 1, (A214/C214)^(3.6)) - 1</f>
        <v>-8.3266726846886741E-15</v>
      </c>
      <c r="O214" s="8">
        <f t="shared" si="15"/>
        <v>-8.3266726846886741E-15</v>
      </c>
    </row>
    <row r="215" spans="1:15" x14ac:dyDescent="0.25">
      <c r="A215" s="9">
        <v>2.1399999999999899</v>
      </c>
      <c r="B215" s="5">
        <v>1.0025669282513301</v>
      </c>
      <c r="C215" s="5">
        <v>1.4043297856433301</v>
      </c>
      <c r="D215" s="5">
        <v>1.41622184491159</v>
      </c>
      <c r="E215" s="5">
        <v>1.79404790084562</v>
      </c>
      <c r="F215" s="5">
        <v>2.1595448486159499</v>
      </c>
      <c r="G215" s="5">
        <v>2.2605171789220799</v>
      </c>
      <c r="H215" s="5">
        <v>2.35925408680122</v>
      </c>
      <c r="I215" s="5">
        <v>2.4906045945092199</v>
      </c>
      <c r="J215" s="1"/>
      <c r="K215" s="10">
        <f t="shared" si="12"/>
        <v>0.99925758045168689</v>
      </c>
      <c r="L215" s="10">
        <f t="shared" si="13"/>
        <v>1.4052121842543446</v>
      </c>
      <c r="M215" s="8">
        <f t="shared" si="14"/>
        <v>4.3520742565306136E-14</v>
      </c>
      <c r="N215" s="8">
        <f>B215^2* UnnormalizedLowerIncompleteGamma(2/2 + 1, (A215/B215)^(2)) + C215^2 *UnnormalizedUpperIncompleteGamma(2/3.6 + 1, (A215/C215)^(3.6)) - 1</f>
        <v>-1.0547118733938987E-14</v>
      </c>
      <c r="O215" s="8">
        <f t="shared" si="15"/>
        <v>-1.0547118733938987E-14</v>
      </c>
    </row>
    <row r="216" spans="1:15" x14ac:dyDescent="0.25">
      <c r="A216" s="9">
        <v>2.1499999999999901</v>
      </c>
      <c r="B216" s="5">
        <v>1.0024550953987901</v>
      </c>
      <c r="C216" s="5">
        <v>1.40715537237065</v>
      </c>
      <c r="D216" s="5">
        <v>1.4162116561365801</v>
      </c>
      <c r="E216" s="5">
        <v>1.7943404005251899</v>
      </c>
      <c r="F216" s="5">
        <v>2.1617670563056399</v>
      </c>
      <c r="G216" s="5">
        <v>2.2650654605315301</v>
      </c>
      <c r="H216" s="5">
        <v>2.3640010323564602</v>
      </c>
      <c r="I216" s="5">
        <v>2.4956158243194801</v>
      </c>
      <c r="J216" s="1"/>
      <c r="K216" s="10">
        <f t="shared" si="12"/>
        <v>0.99876342395149564</v>
      </c>
      <c r="L216" s="10">
        <f t="shared" si="13"/>
        <v>1.4080352660223971</v>
      </c>
      <c r="M216" s="8">
        <f t="shared" si="14"/>
        <v>0</v>
      </c>
      <c r="N216" s="8">
        <f>B216^2* UnnormalizedLowerIncompleteGamma(2/2 + 1, (A216/B216)^(2)) + C216^2 *UnnormalizedUpperIncompleteGamma(2/3.6 + 1, (A216/C216)^(3.6)) - 1</f>
        <v>-1.1324274851176597E-14</v>
      </c>
      <c r="O216" s="8">
        <f t="shared" si="15"/>
        <v>-1.1324274851176597E-14</v>
      </c>
    </row>
    <row r="217" spans="1:15" x14ac:dyDescent="0.25">
      <c r="A217" s="9">
        <v>2.1599999999999899</v>
      </c>
      <c r="B217" s="5">
        <v>1.00234775246857</v>
      </c>
      <c r="C217" s="5">
        <v>1.4099765865634999</v>
      </c>
      <c r="D217" s="5">
        <v>1.4162012832786901</v>
      </c>
      <c r="E217" s="5">
        <v>1.7946191796219599</v>
      </c>
      <c r="F217" s="5">
        <v>2.1638901598858298</v>
      </c>
      <c r="G217" s="5">
        <v>2.2695306361681999</v>
      </c>
      <c r="H217" s="5">
        <v>2.3687406321159199</v>
      </c>
      <c r="I217" s="5">
        <v>2.50061929935978</v>
      </c>
      <c r="J217" s="1"/>
      <c r="K217" s="10">
        <f t="shared" si="12"/>
        <v>0.99827863801468686</v>
      </c>
      <c r="L217" s="10">
        <f t="shared" si="13"/>
        <v>1.4108527611902597</v>
      </c>
      <c r="M217" s="8">
        <f t="shared" si="14"/>
        <v>-5.4178883601707639E-14</v>
      </c>
      <c r="N217" s="8">
        <f>B217^2* UnnormalizedLowerIncompleteGamma(2/2 + 1, (A217/B217)^(2)) + C217^2 *UnnormalizedUpperIncompleteGamma(2/3.6 + 1, (A217/C217)^(3.6)) - 1</f>
        <v>-9.2148511043887993E-15</v>
      </c>
      <c r="O217" s="8">
        <f t="shared" si="15"/>
        <v>-9.2148511043887993E-15</v>
      </c>
    </row>
    <row r="218" spans="1:15" x14ac:dyDescent="0.25">
      <c r="A218" s="9">
        <v>2.1699999999999902</v>
      </c>
      <c r="B218" s="5">
        <v>1.0022447354573301</v>
      </c>
      <c r="C218" s="5">
        <v>1.41279337734515</v>
      </c>
      <c r="D218" s="5">
        <v>1.4161907636176201</v>
      </c>
      <c r="E218" s="5">
        <v>1.7948848411598599</v>
      </c>
      <c r="F218" s="5">
        <v>2.1659182885928501</v>
      </c>
      <c r="G218" s="5">
        <v>2.2737984316739399</v>
      </c>
      <c r="H218" s="5">
        <v>2.3734728006073902</v>
      </c>
      <c r="I218" s="5">
        <v>2.50561492939929</v>
      </c>
      <c r="J218" s="1"/>
      <c r="K218" s="10">
        <f t="shared" si="12"/>
        <v>0.99780303304509799</v>
      </c>
      <c r="L218" s="10">
        <f t="shared" si="13"/>
        <v>1.4136646445240815</v>
      </c>
      <c r="M218" s="8">
        <f t="shared" si="14"/>
        <v>5.773159728050814E-14</v>
      </c>
      <c r="N218" s="8">
        <f>B218^2* UnnormalizedLowerIncompleteGamma(2/2 + 1, (A218/B218)^(2)) + C218^2 *UnnormalizedUpperIncompleteGamma(2/3.6 + 1, (A218/C218)^(3.6)) - 1</f>
        <v>-1.6764367671839864E-14</v>
      </c>
      <c r="O218" s="8">
        <f t="shared" si="15"/>
        <v>-1.6764367671839864E-14</v>
      </c>
    </row>
    <row r="219" spans="1:15" x14ac:dyDescent="0.25">
      <c r="A219" s="9">
        <v>2.1799999999999899</v>
      </c>
      <c r="B219" s="5">
        <v>1.0021458857550001</v>
      </c>
      <c r="C219" s="5">
        <v>1.41560569622147</v>
      </c>
      <c r="D219" s="5">
        <v>1.4161801317169</v>
      </c>
      <c r="E219" s="5">
        <v>1.7951379633649001</v>
      </c>
      <c r="F219" s="5">
        <v>2.1678554110358399</v>
      </c>
      <c r="G219" s="5">
        <v>2.2778756573797598</v>
      </c>
      <c r="H219" s="5">
        <v>2.3781974563614501</v>
      </c>
      <c r="I219" s="5">
        <v>2.5106026284327898</v>
      </c>
      <c r="J219" s="1"/>
      <c r="K219" s="10">
        <f t="shared" si="12"/>
        <v>0.99733642361197394</v>
      </c>
      <c r="L219" s="10">
        <f t="shared" si="13"/>
        <v>1.4164708940938471</v>
      </c>
      <c r="M219" s="8">
        <f t="shared" si="14"/>
        <v>2.5757174171303632E-14</v>
      </c>
      <c r="N219" s="8">
        <f>B219^2* UnnormalizedLowerIncompleteGamma(2/2 + 1, (A219/B219)^(2)) + C219^2 *UnnormalizedUpperIncompleteGamma(2/3.6 + 1, (A219/C219)^(3.6)) - 1</f>
        <v>0</v>
      </c>
      <c r="O219" s="8">
        <f t="shared" si="15"/>
        <v>0</v>
      </c>
    </row>
    <row r="220" spans="1:15" x14ac:dyDescent="0.25">
      <c r="A220" s="9">
        <v>2.1899999999999902</v>
      </c>
      <c r="B220" s="5">
        <v>1.0020510499839199</v>
      </c>
      <c r="C220" s="5">
        <v>1.4184134970189799</v>
      </c>
      <c r="D220" s="5">
        <v>1.41616941957153</v>
      </c>
      <c r="E220" s="5">
        <v>1.7953791006268001</v>
      </c>
      <c r="F220" s="5">
        <v>2.1697053410970502</v>
      </c>
      <c r="G220" s="5">
        <v>2.2817702560001898</v>
      </c>
      <c r="H220" s="5">
        <v>2.38291452180732</v>
      </c>
      <c r="I220" s="5">
        <v>2.5155823145707998</v>
      </c>
      <c r="J220" s="1"/>
      <c r="K220" s="10">
        <f t="shared" si="12"/>
        <v>0.99687862834881913</v>
      </c>
      <c r="L220" s="10">
        <f t="shared" si="13"/>
        <v>1.419271491146419</v>
      </c>
      <c r="M220" s="8">
        <f t="shared" si="14"/>
        <v>0</v>
      </c>
      <c r="N220" s="8">
        <f>B220^2* UnnormalizedLowerIncompleteGamma(2/2 + 1, (A220/B220)^(2)) + C220^2 *UnnormalizedUpperIncompleteGamma(2/3.6 + 1, (A220/C220)^(3.6)) - 1</f>
        <v>-1.8318679906315083E-14</v>
      </c>
      <c r="O220" s="8">
        <f t="shared" si="15"/>
        <v>-1.8318679906315083E-14</v>
      </c>
    </row>
    <row r="221" spans="1:15" x14ac:dyDescent="0.25">
      <c r="A221" s="9">
        <v>2.19999999999999</v>
      </c>
      <c r="B221" s="5">
        <v>1.0019600798428501</v>
      </c>
      <c r="C221" s="5">
        <v>1.42121673582421</v>
      </c>
      <c r="D221" s="5">
        <v>1.4161586567489599</v>
      </c>
      <c r="E221" s="5">
        <v>1.7956087844245401</v>
      </c>
      <c r="F221" s="5">
        <v>2.1714717436200299</v>
      </c>
      <c r="G221" s="5">
        <v>2.2854898617484398</v>
      </c>
      <c r="H221" s="5">
        <v>2.3876239231709699</v>
      </c>
      <c r="I221" s="5">
        <v>2.5205539099319401</v>
      </c>
      <c r="J221" s="1"/>
      <c r="K221" s="10">
        <f t="shared" si="12"/>
        <v>0.99642946985500569</v>
      </c>
      <c r="L221" s="10">
        <f t="shared" si="13"/>
        <v>1.4220664199818294</v>
      </c>
      <c r="M221" s="8">
        <f t="shared" si="14"/>
        <v>-5.1514348342607263E-14</v>
      </c>
      <c r="N221" s="8">
        <f>B221^2* UnnormalizedLowerIncompleteGamma(2/2 + 1, (A221/B221)^(2)) + C221^2 *UnnormalizedUpperIncompleteGamma(2/3.6 + 1, (A221/C221)^(3.6)) - 1</f>
        <v>-4.2188474935755949E-15</v>
      </c>
      <c r="O221" s="8">
        <f t="shared" si="15"/>
        <v>-4.2188474935755949E-15</v>
      </c>
    </row>
    <row r="222" spans="1:15" x14ac:dyDescent="0.25">
      <c r="A222" s="9">
        <v>2.2099999999999902</v>
      </c>
      <c r="B222" s="5">
        <v>1.0018728319551999</v>
      </c>
      <c r="C222" s="5">
        <v>1.4240153709241801</v>
      </c>
      <c r="D222" s="5">
        <v>1.41614787052351</v>
      </c>
      <c r="E222" s="5">
        <v>1.79582752421714</v>
      </c>
      <c r="F222" s="5">
        <v>2.1731581398936402</v>
      </c>
      <c r="G222" s="5">
        <v>2.28904181161576</v>
      </c>
      <c r="H222" s="5">
        <v>2.3923255903751901</v>
      </c>
      <c r="I222" s="5">
        <v>2.5255173405374798</v>
      </c>
      <c r="J222" s="1"/>
      <c r="K222" s="10">
        <f t="shared" si="12"/>
        <v>0.9959887746000482</v>
      </c>
      <c r="L222" s="10">
        <f t="shared" si="13"/>
        <v>1.424855667832807</v>
      </c>
      <c r="M222" s="8">
        <f t="shared" si="14"/>
        <v>0</v>
      </c>
      <c r="N222" s="8">
        <f>B222^2* UnnormalizedLowerIncompleteGamma(2/2 + 1, (A222/B222)^(2)) + C222^2 *UnnormalizedUpperIncompleteGamma(2/3.6 + 1, (A222/C222)^(3.6)) - 1</f>
        <v>-1.3322676295501878E-14</v>
      </c>
      <c r="O222" s="8">
        <f t="shared" si="15"/>
        <v>-1.3322676295501878E-14</v>
      </c>
    </row>
    <row r="223" spans="1:15" x14ac:dyDescent="0.25">
      <c r="A223" s="9">
        <v>2.21999999999999</v>
      </c>
      <c r="B223" s="5">
        <v>1.00178916772186</v>
      </c>
      <c r="C223" s="5">
        <v>1.4268093627482199</v>
      </c>
      <c r="D223" s="5">
        <v>1.4161370860046101</v>
      </c>
      <c r="E223" s="5">
        <v>1.79603580830101</v>
      </c>
      <c r="F223" s="5">
        <v>2.1747679129394801</v>
      </c>
      <c r="G223" s="5">
        <v>2.2924331562487801</v>
      </c>
      <c r="H223" s="5">
        <v>2.39701945694181</v>
      </c>
      <c r="I223" s="5">
        <v>2.5304725362081202</v>
      </c>
      <c r="J223" s="1"/>
      <c r="K223" s="10">
        <f t="shared" si="12"/>
        <v>0.99555637283046827</v>
      </c>
      <c r="L223" s="10">
        <f t="shared" si="13"/>
        <v>1.427639224747514</v>
      </c>
      <c r="M223" s="8">
        <f t="shared" si="14"/>
        <v>6.4837024638109142E-14</v>
      </c>
      <c r="N223" s="8">
        <f>B223^2* UnnormalizedLowerIncompleteGamma(2/2 + 1, (A223/B223)^(2)) + C223^2 *UnnormalizedUpperIncompleteGamma(2/3.6 + 1, (A223/C223)^(3.6)) - 1</f>
        <v>-8.3266726846886741E-15</v>
      </c>
      <c r="O223" s="8">
        <f t="shared" si="15"/>
        <v>-8.3266726846886741E-15</v>
      </c>
    </row>
    <row r="224" spans="1:15" x14ac:dyDescent="0.25">
      <c r="A224" s="9">
        <v>2.2299999999999902</v>
      </c>
      <c r="B224" s="5">
        <v>1.0017089531780301</v>
      </c>
      <c r="C224" s="5">
        <v>1.4295986738108699</v>
      </c>
      <c r="D224" s="5">
        <v>1.41612632625905</v>
      </c>
      <c r="E224" s="5">
        <v>1.7962341046352199</v>
      </c>
      <c r="F224" s="5">
        <v>2.1763043126100299</v>
      </c>
      <c r="G224" s="5">
        <v>2.2956706704396499</v>
      </c>
      <c r="H224" s="5">
        <v>2.4017054598958101</v>
      </c>
      <c r="I224" s="5">
        <v>2.53541943046271</v>
      </c>
      <c r="J224" s="1"/>
      <c r="K224" s="10">
        <f t="shared" si="12"/>
        <v>0.99513209847916562</v>
      </c>
      <c r="L224" s="10">
        <f t="shared" si="13"/>
        <v>1.4304170834754641</v>
      </c>
      <c r="M224" s="8">
        <f t="shared" si="14"/>
        <v>6.2172489379008766E-14</v>
      </c>
      <c r="N224" s="8">
        <f>B224^2* UnnormalizedLowerIncompleteGamma(2/2 + 1, (A224/B224)^(2)) + C224^2 *UnnormalizedUpperIncompleteGamma(2/3.6 + 1, (A224/C224)^(3.6)) - 1</f>
        <v>-1.1324274851176597E-14</v>
      </c>
      <c r="O224" s="8">
        <f t="shared" si="15"/>
        <v>-1.1324274851176597E-14</v>
      </c>
    </row>
    <row r="225" spans="1:15" x14ac:dyDescent="0.25">
      <c r="A225" s="9">
        <v>2.23999999999999</v>
      </c>
      <c r="B225" s="5">
        <v>1.00163205885425</v>
      </c>
      <c r="C225" s="5">
        <v>1.4323832686560201</v>
      </c>
      <c r="D225" s="5">
        <v>1.4161156124275001</v>
      </c>
      <c r="E225" s="5">
        <v>1.7964228616357401</v>
      </c>
      <c r="F225" s="5">
        <v>2.1777704605046599</v>
      </c>
      <c r="G225" s="5">
        <v>2.2987608632434</v>
      </c>
      <c r="H225" s="5">
        <v>2.4063835396714301</v>
      </c>
      <c r="I225" s="5">
        <v>2.5403579604191999</v>
      </c>
      <c r="J225" s="1"/>
      <c r="K225" s="10">
        <f t="shared" si="12"/>
        <v>0.99471578907722225</v>
      </c>
      <c r="L225" s="10">
        <f t="shared" si="13"/>
        <v>1.4331892393565915</v>
      </c>
      <c r="M225" s="8">
        <f t="shared" si="14"/>
        <v>-6.0396132539608516E-14</v>
      </c>
      <c r="N225" s="8">
        <f>B225^2* UnnormalizedLowerIncompleteGamma(2/2 + 1, (A225/B225)^(2)) + C225^2 *UnnormalizedUpperIncompleteGamma(2/3.6 + 1, (A225/C225)^(3.6)) - 1</f>
        <v>-5.440092820663267E-15</v>
      </c>
      <c r="O225" s="8">
        <f t="shared" si="15"/>
        <v>-5.440092820663267E-15</v>
      </c>
    </row>
    <row r="226" spans="1:15" x14ac:dyDescent="0.25">
      <c r="A226" s="9">
        <v>2.2499999999999898</v>
      </c>
      <c r="B226" s="5">
        <v>1.00155835964128</v>
      </c>
      <c r="C226" s="5">
        <v>1.4351631138021299</v>
      </c>
      <c r="D226" s="5">
        <v>1.41610496383564</v>
      </c>
      <c r="E226" s="5">
        <v>1.7966025089400901</v>
      </c>
      <c r="F226" s="5">
        <v>2.1791693547099502</v>
      </c>
      <c r="G226" s="5">
        <v>2.3017099877360998</v>
      </c>
      <c r="H226" s="5">
        <v>2.4110536400201399</v>
      </c>
      <c r="I226" s="5">
        <v>2.54528806669745</v>
      </c>
      <c r="J226" s="1"/>
      <c r="K226" s="10">
        <f t="shared" si="12"/>
        <v>0.99430728566806548</v>
      </c>
      <c r="L226" s="10">
        <f t="shared" si="13"/>
        <v>1.4359556902134343</v>
      </c>
      <c r="M226" s="8">
        <f t="shared" si="14"/>
        <v>-7.0166095156309893E-14</v>
      </c>
      <c r="N226" s="8">
        <f>B226^2* UnnormalizedLowerIncompleteGamma(2/2 + 1, (A226/B226)^(2)) + C226^2 *UnnormalizedUpperIncompleteGamma(2/3.6 + 1, (A226/C226)^(3.6)) - 1</f>
        <v>-4.6629367034256575E-15</v>
      </c>
      <c r="O226" s="8">
        <f t="shared" si="15"/>
        <v>-4.6629367034256575E-15</v>
      </c>
    </row>
    <row r="227" spans="1:15" x14ac:dyDescent="0.25">
      <c r="A227" s="9">
        <v>2.25999999999999</v>
      </c>
      <c r="B227" s="5">
        <v>1.00148773465887</v>
      </c>
      <c r="C227" s="5">
        <v>1.43793817768854</v>
      </c>
      <c r="D227" s="5">
        <v>1.4160943980998999</v>
      </c>
      <c r="E227" s="5">
        <v>1.79677345814318</v>
      </c>
      <c r="F227" s="5">
        <v>2.1805038743711198</v>
      </c>
      <c r="G227" s="5">
        <v>2.30452405042716</v>
      </c>
      <c r="H227" s="5">
        <v>2.4157157079204898</v>
      </c>
      <c r="I227" s="5">
        <v>2.5502096933240401</v>
      </c>
      <c r="J227" s="1"/>
      <c r="K227" s="10">
        <f t="shared" si="12"/>
        <v>0.99390643272391732</v>
      </c>
      <c r="L227" s="10">
        <f t="shared" si="13"/>
        <v>1.438716436246394</v>
      </c>
      <c r="M227" s="8">
        <f t="shared" si="14"/>
        <v>-3.0198066269804258E-14</v>
      </c>
      <c r="N227" s="8">
        <f>B227^2* UnnormalizedLowerIncompleteGamma(2/2 + 1, (A227/B227)^(2)) + C227^2 *UnnormalizedUpperIncompleteGamma(2/3.6 + 1, (A227/C227)^(3.6)) - 1</f>
        <v>-7.5495165674510645E-15</v>
      </c>
      <c r="O227" s="8">
        <f t="shared" si="15"/>
        <v>-7.5495165674510645E-15</v>
      </c>
    </row>
    <row r="228" spans="1:15" x14ac:dyDescent="0.25">
      <c r="A228" s="9">
        <v>2.2699999999999898</v>
      </c>
      <c r="B228" s="5">
        <v>1.0014200671281801</v>
      </c>
      <c r="C228" s="5">
        <v>1.4407084306229101</v>
      </c>
      <c r="D228" s="5">
        <v>1.41608393122833</v>
      </c>
      <c r="E228" s="5">
        <v>1.7969361035057401</v>
      </c>
      <c r="F228" s="5">
        <v>2.1817767841004798</v>
      </c>
      <c r="G228" s="5">
        <v>2.3072088203382499</v>
      </c>
      <c r="H228" s="5">
        <v>2.4203696934897501</v>
      </c>
      <c r="I228" s="5">
        <v>2.5551227876390801</v>
      </c>
      <c r="J228" s="1"/>
      <c r="K228" s="10">
        <f t="shared" si="12"/>
        <v>0.99351307806446465</v>
      </c>
      <c r="L228" s="10">
        <f t="shared" si="13"/>
        <v>1.4414714799320305</v>
      </c>
      <c r="M228" s="8">
        <f t="shared" si="14"/>
        <v>5.9507954119908391E-14</v>
      </c>
      <c r="N228" s="8">
        <f>B228^2* UnnormalizedLowerIncompleteGamma(2/2 + 1, (A228/B228)^(2)) + C228^2 *UnnormalizedUpperIncompleteGamma(2/3.6 + 1, (A228/C228)^(3.6)) - 1</f>
        <v>-3.8857805861880479E-15</v>
      </c>
      <c r="O228" s="8">
        <f t="shared" si="15"/>
        <v>-3.8857805861880479E-15</v>
      </c>
    </row>
    <row r="229" spans="1:15" x14ac:dyDescent="0.25">
      <c r="A229" s="9">
        <v>2.27999999999999</v>
      </c>
      <c r="B229" s="5">
        <v>1.00135524424778</v>
      </c>
      <c r="C229" s="5">
        <v>1.44347384472966</v>
      </c>
      <c r="D229" s="5">
        <v>1.4160735777165301</v>
      </c>
      <c r="E229" s="5">
        <v>1.7970908226361599</v>
      </c>
      <c r="F229" s="5">
        <v>2.1829907382290599</v>
      </c>
      <c r="G229" s="5">
        <v>2.3097698377611202</v>
      </c>
      <c r="H229" s="5">
        <v>2.4250155498973802</v>
      </c>
      <c r="I229" s="5">
        <v>2.5600273002047298</v>
      </c>
      <c r="J229" s="1"/>
      <c r="K229" s="10">
        <f t="shared" si="12"/>
        <v>0.99312707277767998</v>
      </c>
      <c r="L229" s="10">
        <f t="shared" si="13"/>
        <v>1.4442208259243483</v>
      </c>
      <c r="M229" s="8">
        <f t="shared" si="14"/>
        <v>9.7699626167013776E-15</v>
      </c>
      <c r="N229" s="8">
        <f>B229^2* UnnormalizedLowerIncompleteGamma(2/2 + 1, (A229/B229)^(2)) + C229^2 *UnnormalizedUpperIncompleteGamma(2/3.6 + 1, (A229/C229)^(3.6)) - 1</f>
        <v>-7.5495165674510645E-15</v>
      </c>
      <c r="O229" s="8">
        <f t="shared" si="15"/>
        <v>-7.5495165674510645E-15</v>
      </c>
    </row>
    <row r="230" spans="1:15" x14ac:dyDescent="0.25">
      <c r="A230" s="9">
        <v>2.2899999999999898</v>
      </c>
      <c r="B230" s="5">
        <v>1.00129315707315</v>
      </c>
      <c r="C230" s="5">
        <v>1.4462343938995399</v>
      </c>
      <c r="D230" s="5">
        <v>1.4160633506390301</v>
      </c>
      <c r="E230" s="5">
        <v>1.7972379771468401</v>
      </c>
      <c r="F230" s="5">
        <v>2.18414828490699</v>
      </c>
      <c r="G230" s="5">
        <v>2.3122124227058198</v>
      </c>
      <c r="H230" s="5">
        <v>2.4296532332801801</v>
      </c>
      <c r="I230" s="5">
        <v>2.5649231847157199</v>
      </c>
      <c r="J230" s="1"/>
      <c r="K230" s="10">
        <f t="shared" si="12"/>
        <v>0.99274827114273179</v>
      </c>
      <c r="L230" s="10">
        <f t="shared" si="13"/>
        <v>1.4469644809590272</v>
      </c>
      <c r="M230" s="8">
        <f t="shared" si="14"/>
        <v>5.5067062021407764E-14</v>
      </c>
      <c r="N230" s="8">
        <f>B230^2* UnnormalizedLowerIncompleteGamma(2/2 + 1, (A230/B230)^(2)) + C230^2 *UnnormalizedUpperIncompleteGamma(2/3.6 + 1, (A230/C230)^(3.6)) - 1</f>
        <v>-5.3290705182007514E-15</v>
      </c>
      <c r="O230" s="8">
        <f t="shared" si="15"/>
        <v>-5.3290705182007514E-15</v>
      </c>
    </row>
    <row r="231" spans="1:15" x14ac:dyDescent="0.25">
      <c r="A231" s="9">
        <v>2.2999999999999901</v>
      </c>
      <c r="B231" s="5">
        <v>1.00123370039952</v>
      </c>
      <c r="C231" s="5">
        <v>1.4489900537400799</v>
      </c>
      <c r="D231" s="5">
        <v>1.4160532617362001</v>
      </c>
      <c r="E231" s="5">
        <v>1.79737791328597</v>
      </c>
      <c r="F231" s="5">
        <v>2.1852518700581798</v>
      </c>
      <c r="G231" s="5">
        <v>2.3145416830506802</v>
      </c>
      <c r="H231" s="5">
        <v>2.4342827026591598</v>
      </c>
      <c r="I231" s="5">
        <v>2.5698103979116</v>
      </c>
      <c r="J231" s="1"/>
      <c r="K231" s="10">
        <f t="shared" si="12"/>
        <v>0.99237653055492103</v>
      </c>
      <c r="L231" s="10">
        <f t="shared" si="13"/>
        <v>1.4497024537605496</v>
      </c>
      <c r="M231" s="8">
        <f t="shared" si="14"/>
        <v>3.0198066269804258E-14</v>
      </c>
      <c r="N231" s="8">
        <f>B231^2* UnnormalizedLowerIncompleteGamma(2/2 + 1, (A231/B231)^(2)) + C231^2 *UnnormalizedUpperIncompleteGamma(2/3.6 + 1, (A231/C231)^(3.6)) - 1</f>
        <v>-5.440092820663267E-15</v>
      </c>
      <c r="O231" s="8">
        <f t="shared" si="15"/>
        <v>-5.440092820663267E-15</v>
      </c>
    </row>
    <row r="232" spans="1:15" x14ac:dyDescent="0.25">
      <c r="A232" s="9">
        <v>2.3099999999999898</v>
      </c>
      <c r="B232" s="5">
        <v>1.0011767726479901</v>
      </c>
      <c r="C232" s="5">
        <v>1.45174080152716</v>
      </c>
      <c r="D232" s="5">
        <v>1.4160433214969801</v>
      </c>
      <c r="E232" s="5">
        <v>1.79751096254561</v>
      </c>
      <c r="F232" s="5">
        <v>2.1863038411945701</v>
      </c>
      <c r="G232" s="5">
        <v>2.3167625224046202</v>
      </c>
      <c r="H232" s="5">
        <v>2.4389039198581299</v>
      </c>
      <c r="I232" s="5">
        <v>2.57468889949071</v>
      </c>
      <c r="J232" s="1"/>
      <c r="K232" s="10">
        <f t="shared" si="12"/>
        <v>0.9920117114525846</v>
      </c>
      <c r="L232" s="10">
        <f t="shared" si="13"/>
        <v>1.4524347549521754</v>
      </c>
      <c r="M232" s="8">
        <f t="shared" si="14"/>
        <v>-4.9737991503207013E-14</v>
      </c>
      <c r="N232" s="8">
        <f>B232^2* UnnormalizedLowerIncompleteGamma(2/2 + 1, (A232/B232)^(2)) + C232^2 *UnnormalizedUpperIncompleteGamma(2/3.6 + 1, (A232/C232)^(3.6)) - 1</f>
        <v>-7.1054273576010019E-15</v>
      </c>
      <c r="O232" s="8">
        <f t="shared" si="15"/>
        <v>-7.3274719625260332E-15</v>
      </c>
    </row>
    <row r="233" spans="1:15" x14ac:dyDescent="0.25">
      <c r="A233" s="9">
        <v>2.3199999999999901</v>
      </c>
      <c r="B233" s="5">
        <v>1.0011222757548099</v>
      </c>
      <c r="C233" s="5">
        <v>1.4544866161575001</v>
      </c>
      <c r="D233" s="5">
        <v>1.4160335392375301</v>
      </c>
      <c r="E233" s="5">
        <v>1.79763744224709</v>
      </c>
      <c r="F233" s="5">
        <v>2.1873064510949898</v>
      </c>
      <c r="G233" s="5">
        <v>2.31887964769223</v>
      </c>
      <c r="H233" s="5">
        <v>2.4435168494238599</v>
      </c>
      <c r="I233" s="5">
        <v>2.5795586520259799</v>
      </c>
      <c r="J233" s="1"/>
      <c r="K233" s="10">
        <f t="shared" si="12"/>
        <v>0.99165367724590636</v>
      </c>
      <c r="L233" s="10">
        <f t="shared" si="13"/>
        <v>1.4551613969687129</v>
      </c>
      <c r="M233" s="8">
        <f t="shared" si="14"/>
        <v>2.3980817331903381E-14</v>
      </c>
      <c r="N233" s="8">
        <f>B233^2* UnnormalizedLowerIncompleteGamma(2/2 + 1, (A233/B233)^(2)) + C233^2 *UnnormalizedUpperIncompleteGamma(2/3.6 + 1, (A233/C233)^(3.6)) - 1</f>
        <v>-1.2545520178264269E-14</v>
      </c>
      <c r="O233" s="8">
        <f t="shared" si="15"/>
        <v>-1.2545520178264269E-14</v>
      </c>
    </row>
    <row r="234" spans="1:15" x14ac:dyDescent="0.25">
      <c r="A234" s="9">
        <v>2.3299999999999899</v>
      </c>
      <c r="B234" s="5">
        <v>1.00107011506375</v>
      </c>
      <c r="C234" s="5">
        <v>1.45722747810208</v>
      </c>
      <c r="D234" s="5">
        <v>1.41602392317593</v>
      </c>
      <c r="E234" s="5">
        <v>1.79775765610439</v>
      </c>
      <c r="F234" s="5">
        <v>2.1882618613535199</v>
      </c>
      <c r="G234" s="5">
        <v>2.3208975764714599</v>
      </c>
      <c r="H234" s="5">
        <v>2.4481214585478699</v>
      </c>
      <c r="I234" s="5">
        <v>2.5844196208823398</v>
      </c>
      <c r="J234" s="1"/>
      <c r="K234" s="10">
        <f t="shared" si="12"/>
        <v>0.99130229424758243</v>
      </c>
      <c r="L234" s="10">
        <f t="shared" si="13"/>
        <v>1.4578823939720298</v>
      </c>
      <c r="M234" s="8">
        <f t="shared" si="14"/>
        <v>9.0594198809412774E-14</v>
      </c>
      <c r="N234" s="8">
        <f>B234^2* UnnormalizedLowerIncompleteGamma(2/2 + 1, (A234/B234)^(2)) + C234^2 *UnnormalizedUpperIncompleteGamma(2/3.6 + 1, (A234/C234)^(3.6)) - 1</f>
        <v>-9.9920072216264089E-15</v>
      </c>
      <c r="O234" s="8">
        <f t="shared" si="15"/>
        <v>-9.9920072216264089E-15</v>
      </c>
    </row>
    <row r="235" spans="1:15" x14ac:dyDescent="0.25">
      <c r="A235" s="9">
        <v>2.3399999999999901</v>
      </c>
      <c r="B235" s="5">
        <v>1.00102019922142</v>
      </c>
      <c r="C235" s="5">
        <v>1.4599633693605401</v>
      </c>
      <c r="D235" s="5">
        <v>1.4160144805032799</v>
      </c>
      <c r="E235" s="5">
        <v>1.79787189476647</v>
      </c>
      <c r="F235" s="5">
        <v>2.1891721458018898</v>
      </c>
      <c r="G235" s="5">
        <v>2.32282064399348</v>
      </c>
      <c r="H235" s="5">
        <v>2.45271771698985</v>
      </c>
      <c r="I235" s="5">
        <v>2.5892717741358502</v>
      </c>
      <c r="J235" s="1"/>
      <c r="K235" s="10">
        <f t="shared" si="12"/>
        <v>0.9909574316052836</v>
      </c>
      <c r="L235" s="10">
        <f t="shared" si="13"/>
        <v>1.4605977617692578</v>
      </c>
      <c r="M235" s="8">
        <f t="shared" si="14"/>
        <v>-1.9539925233402755E-14</v>
      </c>
      <c r="N235" s="8">
        <f>B235^2* UnnormalizedLowerIncompleteGamma(2/2 + 1, (A235/B235)^(2)) + C235^2 *UnnormalizedUpperIncompleteGamma(2/3.6 + 1, (A235/C235)^(3.6)) - 1</f>
        <v>-1.1768364061026659E-14</v>
      </c>
      <c r="O235" s="8">
        <f t="shared" si="15"/>
        <v>-1.1768364061026659E-14</v>
      </c>
    </row>
    <row r="236" spans="1:15" x14ac:dyDescent="0.25">
      <c r="A236" s="9">
        <v>2.3499999999999899</v>
      </c>
      <c r="B236" s="5">
        <v>1.00097244007552</v>
      </c>
      <c r="C236" s="5">
        <v>1.46269427341654</v>
      </c>
      <c r="D236" s="5">
        <v>1.4160052174511299</v>
      </c>
      <c r="E236" s="5">
        <v>1.79798043633919</v>
      </c>
      <c r="F236" s="5">
        <v>2.1900392938106301</v>
      </c>
      <c r="G236" s="5">
        <v>2.3246530100138201</v>
      </c>
      <c r="H236" s="5">
        <v>2.4573055970025299</v>
      </c>
      <c r="I236" s="5">
        <v>2.5941150824944499</v>
      </c>
      <c r="J236" s="1"/>
      <c r="K236" s="10">
        <f t="shared" si="12"/>
        <v>0.99061896123586535</v>
      </c>
      <c r="L236" s="10">
        <f t="shared" si="13"/>
        <v>1.4633075177336268</v>
      </c>
      <c r="M236" s="8">
        <f t="shared" si="14"/>
        <v>3.730349362740526E-14</v>
      </c>
      <c r="N236" s="8">
        <f>B236^2* UnnormalizedLowerIncompleteGamma(2/2 + 1, (A236/B236)^(2)) + C236^2 *UnnormalizedUpperIncompleteGamma(2/3.6 + 1, (A236/C236)^(3.6)) - 1</f>
        <v>-1.532107773982716E-14</v>
      </c>
      <c r="O236" s="8">
        <f t="shared" si="15"/>
        <v>-1.532107773982716E-14</v>
      </c>
    </row>
    <row r="237" spans="1:15" x14ac:dyDescent="0.25">
      <c r="A237" s="9">
        <v>2.3599999999999901</v>
      </c>
      <c r="B237" s="5">
        <v>1.00092675257591</v>
      </c>
      <c r="C237" s="5">
        <v>1.46542017519391</v>
      </c>
      <c r="D237" s="5">
        <v>1.41599613935556</v>
      </c>
      <c r="E237" s="5">
        <v>1.7980835468877201</v>
      </c>
      <c r="F237" s="5">
        <v>2.1908652134731099</v>
      </c>
      <c r="G237" s="5">
        <v>2.3263986653636102</v>
      </c>
      <c r="H237" s="5">
        <v>2.46181837932272</v>
      </c>
      <c r="I237" s="5">
        <v>2.5989495192202798</v>
      </c>
      <c r="J237" s="1"/>
      <c r="K237" s="10">
        <f t="shared" si="12"/>
        <v>0.99028675776127217</v>
      </c>
      <c r="L237" s="10">
        <f t="shared" si="13"/>
        <v>1.4660116807278825</v>
      </c>
      <c r="M237" s="8">
        <f t="shared" si="14"/>
        <v>0</v>
      </c>
      <c r="N237" s="8">
        <f>B237^2* UnnormalizedLowerIncompleteGamma(2/2 + 1, (A237/B237)^(2)) + C237^2 *UnnormalizedUpperIncompleteGamma(2/3.6 + 1, (A237/C237)^(3.6)) - 1</f>
        <v>0</v>
      </c>
      <c r="O237" s="8">
        <f t="shared" si="15"/>
        <v>-2.2204460492503131E-16</v>
      </c>
    </row>
    <row r="238" spans="1:15" x14ac:dyDescent="0.25">
      <c r="A238" s="9">
        <v>2.3699999999999899</v>
      </c>
      <c r="B238" s="5">
        <v>1.00088305467834</v>
      </c>
      <c r="C238" s="5">
        <v>1.4681410610137799</v>
      </c>
      <c r="D238" s="5">
        <v>1.4159872507179401</v>
      </c>
      <c r="E238" s="5">
        <v>1.7981814809200001</v>
      </c>
      <c r="F238" s="5">
        <v>2.19165173467659</v>
      </c>
      <c r="G238" s="5">
        <v>2.3280614382893399</v>
      </c>
      <c r="H238" s="5">
        <v>2.46612174646725</v>
      </c>
      <c r="I238" s="5">
        <v>2.6037750600536298</v>
      </c>
      <c r="J238" s="1"/>
      <c r="K238" s="10">
        <f t="shared" si="12"/>
        <v>0.98996069844608947</v>
      </c>
      <c r="L238" s="10">
        <f t="shared" si="13"/>
        <v>1.4687102710302238</v>
      </c>
      <c r="M238" s="8">
        <f t="shared" si="14"/>
        <v>8.8817841970012523E-15</v>
      </c>
      <c r="N238" s="8">
        <f>B238^2* UnnormalizedLowerIncompleteGamma(2/2 + 1, (A238/B238)^(2)) + C238^2 *UnnormalizedUpperIncompleteGamma(2/3.6 + 1, (A238/C238)^(3.6)) - 1</f>
        <v>-1.6209256159527285E-14</v>
      </c>
      <c r="O238" s="8">
        <f t="shared" si="15"/>
        <v>-1.6209256159527285E-14</v>
      </c>
    </row>
    <row r="239" spans="1:15" x14ac:dyDescent="0.25">
      <c r="A239" s="9">
        <v>2.3799999999999901</v>
      </c>
      <c r="B239" s="5">
        <v>1.0008412672509901</v>
      </c>
      <c r="C239" s="5">
        <v>1.4708569185526099</v>
      </c>
      <c r="D239" s="5">
        <v>1.41597855526264</v>
      </c>
      <c r="E239" s="5">
        <v>1.7982744818521199</v>
      </c>
      <c r="F239" s="5">
        <v>2.1924006120644099</v>
      </c>
      <c r="G239" s="5">
        <v>2.3296450005693301</v>
      </c>
      <c r="H239" s="5">
        <v>2.47022068487292</v>
      </c>
      <c r="I239" s="5">
        <v>2.6085916831384499</v>
      </c>
      <c r="J239" s="1"/>
      <c r="K239" s="10">
        <f t="shared" si="12"/>
        <v>0.98964066313669374</v>
      </c>
      <c r="L239" s="10">
        <f t="shared" si="13"/>
        <v>1.47140331026271</v>
      </c>
      <c r="M239" s="8">
        <f t="shared" si="14"/>
        <v>9.9475983006414026E-14</v>
      </c>
      <c r="N239" s="8">
        <f>B239^2* UnnormalizedLowerIncompleteGamma(2/2 + 1, (A239/B239)^(2)) + C239^2 *UnnormalizedUpperIncompleteGamma(2/3.6 + 1, (A239/C239)^(3.6)) - 1</f>
        <v>-9.3258734068513149E-15</v>
      </c>
      <c r="O239" s="8">
        <f t="shared" si="15"/>
        <v>-9.3258734068513149E-15</v>
      </c>
    </row>
    <row r="240" spans="1:15" x14ac:dyDescent="0.25">
      <c r="A240" s="9">
        <v>2.3899999999999899</v>
      </c>
      <c r="B240" s="5">
        <v>1.0008013139834</v>
      </c>
      <c r="C240" s="5">
        <v>1.4735677368009401</v>
      </c>
      <c r="D240" s="5">
        <v>1.4159700559916699</v>
      </c>
      <c r="E240" s="5">
        <v>1.7983627824560899</v>
      </c>
      <c r="F240" s="5">
        <v>2.19311352789305</v>
      </c>
      <c r="G240" s="5">
        <v>2.3311528734145801</v>
      </c>
      <c r="H240" s="5">
        <v>2.4741242532891001</v>
      </c>
      <c r="I240" s="5">
        <v>2.6133993689492798</v>
      </c>
      <c r="J240" s="1"/>
      <c r="K240" s="10">
        <f t="shared" si="12"/>
        <v>0.98932653420195737</v>
      </c>
      <c r="L240" s="10">
        <f t="shared" si="13"/>
        <v>1.4740908213220763</v>
      </c>
      <c r="M240" s="8">
        <f t="shared" si="14"/>
        <v>1.3233858453531866E-13</v>
      </c>
      <c r="N240" s="8">
        <f>B240^2* UnnormalizedLowerIncompleteGamma(2/2 + 1, (A240/B240)^(2)) + C240^2 *UnnormalizedUpperIncompleteGamma(2/3.6 + 1, (A240/C240)^(3.6)) - 1</f>
        <v>-1.6986412276764895E-14</v>
      </c>
      <c r="O240" s="8">
        <f t="shared" si="15"/>
        <v>-1.6986412276764895E-14</v>
      </c>
    </row>
    <row r="241" spans="1:15" x14ac:dyDescent="0.25">
      <c r="A241" s="9">
        <v>2.3999999999999901</v>
      </c>
      <c r="B241" s="5">
        <v>1.0007631212980901</v>
      </c>
      <c r="C241" s="5">
        <v>1.47627350602316</v>
      </c>
      <c r="D241" s="5">
        <v>1.4159617552365</v>
      </c>
      <c r="E241" s="5">
        <v>1.7984466052907799</v>
      </c>
      <c r="F241" s="5">
        <v>2.19379209478776</v>
      </c>
      <c r="G241" s="5">
        <v>2.3325884331617299</v>
      </c>
      <c r="H241" s="5">
        <v>2.4778411391208799</v>
      </c>
      <c r="I241" s="5">
        <v>2.6181981002198502</v>
      </c>
      <c r="J241" s="1"/>
      <c r="K241" s="10">
        <f t="shared" si="12"/>
        <v>0.98901819647546085</v>
      </c>
      <c r="L241" s="10">
        <f t="shared" si="13"/>
        <v>1.4767728283129047</v>
      </c>
      <c r="M241" s="8">
        <f t="shared" si="14"/>
        <v>-4.3520742565306136E-14</v>
      </c>
      <c r="N241" s="8">
        <f>B241^2* UnnormalizedLowerIncompleteGamma(2/2 + 1, (A241/B241)^(2)) + C241^2 *UnnormalizedUpperIncompleteGamma(2/3.6 + 1, (A241/C241)^(3.6)) - 1</f>
        <v>-5.6621374255882984E-15</v>
      </c>
      <c r="O241" s="8">
        <f t="shared" si="15"/>
        <v>-5.6621374255882984E-15</v>
      </c>
    </row>
    <row r="242" spans="1:15" x14ac:dyDescent="0.25">
      <c r="A242" s="9">
        <v>2.4099999999999899</v>
      </c>
      <c r="B242" s="5">
        <v>1.0007266182644701</v>
      </c>
      <c r="C242" s="5">
        <v>1.4789742177180101</v>
      </c>
      <c r="D242" s="5">
        <v>1.4159536547071301</v>
      </c>
      <c r="E242" s="5">
        <v>1.7985261631166201</v>
      </c>
      <c r="F242" s="5">
        <v>2.19443785840024</v>
      </c>
      <c r="G242" s="5">
        <v>2.3339549167650699</v>
      </c>
      <c r="H242" s="5">
        <v>2.4813796724475301</v>
      </c>
      <c r="I242" s="5">
        <v>2.62298786187299</v>
      </c>
      <c r="J242" s="1"/>
      <c r="K242" s="10">
        <f t="shared" si="12"/>
        <v>0.98871553719917238</v>
      </c>
      <c r="L242" s="10">
        <f t="shared" si="13"/>
        <v>1.4794493564830913</v>
      </c>
      <c r="M242" s="8">
        <f t="shared" si="14"/>
        <v>0</v>
      </c>
      <c r="N242" s="8">
        <f>B242^2* UnnormalizedLowerIncompleteGamma(2/2 + 1, (A242/B242)^(2)) + C242^2 *UnnormalizedUpperIncompleteGamma(2/3.6 + 1, (A242/C242)^(3.6)) - 1</f>
        <v>-6.3282712403633923E-15</v>
      </c>
      <c r="O242" s="8">
        <f t="shared" si="15"/>
        <v>-6.3282712403633923E-15</v>
      </c>
    </row>
    <row r="243" spans="1:15" x14ac:dyDescent="0.25">
      <c r="A243" s="9">
        <v>2.4199999999999902</v>
      </c>
      <c r="B243" s="5">
        <v>1.0006917365152701</v>
      </c>
      <c r="C243" s="5">
        <v>1.48166986457989</v>
      </c>
      <c r="D243" s="5">
        <v>1.4159457555385799</v>
      </c>
      <c r="E243" s="5">
        <v>1.7986016592945999</v>
      </c>
      <c r="F243" s="5">
        <v>2.1950522999719602</v>
      </c>
      <c r="G243" s="5">
        <v>2.33525542709486</v>
      </c>
      <c r="H243" s="5">
        <v>2.4847478395484002</v>
      </c>
      <c r="I243" s="5">
        <v>2.6277686409520902</v>
      </c>
      <c r="J243" s="1"/>
      <c r="K243" s="10">
        <f t="shared" si="12"/>
        <v>0.98841844596855077</v>
      </c>
      <c r="L243" s="10">
        <f t="shared" si="13"/>
        <v>1.4821204321615551</v>
      </c>
      <c r="M243" s="8">
        <f t="shared" si="14"/>
        <v>2.1316282072803006E-14</v>
      </c>
      <c r="N243" s="8">
        <f>B243^2* UnnormalizedLowerIncompleteGamma(2/2 + 1, (A243/B243)^(2)) + C243^2 *UnnormalizedUpperIncompleteGamma(2/3.6 + 1, (A243/C243)^(3.6)) - 1</f>
        <v>0</v>
      </c>
      <c r="O243" s="8">
        <f t="shared" si="15"/>
        <v>-5.5511151231257827E-16</v>
      </c>
    </row>
    <row r="244" spans="1:15" x14ac:dyDescent="0.25">
      <c r="A244" s="9">
        <v>2.4299999999999899</v>
      </c>
      <c r="B244" s="5">
        <v>1.0006584101651601</v>
      </c>
      <c r="C244" s="5">
        <v>1.48436044046103</v>
      </c>
      <c r="D244" s="5">
        <v>1.41593805833478</v>
      </c>
      <c r="E244" s="5">
        <v>1.7986732881701999</v>
      </c>
      <c r="F244" s="5">
        <v>2.1956368388061702</v>
      </c>
      <c r="G244" s="5">
        <v>2.3364929380484298</v>
      </c>
      <c r="H244" s="5">
        <v>2.4879532959533099</v>
      </c>
      <c r="I244" s="5">
        <v>2.63254042655399</v>
      </c>
      <c r="J244" s="1"/>
      <c r="K244" s="10">
        <f t="shared" si="12"/>
        <v>0.98812681467903329</v>
      </c>
      <c r="L244" s="10">
        <f t="shared" si="13"/>
        <v>1.4847860826981303</v>
      </c>
      <c r="M244" s="8">
        <f t="shared" si="14"/>
        <v>3.8191672047105385E-14</v>
      </c>
      <c r="N244" s="8">
        <f>B244^2* UnnormalizedLowerIncompleteGamma(2/2 + 1, (A244/B244)^(2)) + C244^2 *UnnormalizedUpperIncompleteGamma(2/3.6 + 1, (A244/C244)^(3.6)) - 1</f>
        <v>-6.4392935428259079E-15</v>
      </c>
      <c r="O244" s="8">
        <f t="shared" si="15"/>
        <v>-6.4392935428259079E-15</v>
      </c>
    </row>
    <row r="245" spans="1:15" x14ac:dyDescent="0.25">
      <c r="A245" s="9">
        <v>2.4399999999999902</v>
      </c>
      <c r="B245" s="5">
        <v>1.0006265757317101</v>
      </c>
      <c r="C245" s="5">
        <v>1.48704594033444</v>
      </c>
      <c r="D245" s="5">
        <v>1.4159305632101999</v>
      </c>
      <c r="E245" s="5">
        <v>1.7987412354427199</v>
      </c>
      <c r="F245" s="5">
        <v>2.1961928346519302</v>
      </c>
      <c r="G245" s="5">
        <v>2.3376702994805498</v>
      </c>
      <c r="H245" s="5">
        <v>2.49100337903347</v>
      </c>
      <c r="I245" s="5">
        <v>2.6373032097632199</v>
      </c>
      <c r="J245" s="1"/>
      <c r="K245" s="10">
        <f t="shared" si="12"/>
        <v>0.98784053747386757</v>
      </c>
      <c r="L245" s="10">
        <f t="shared" si="13"/>
        <v>1.487446336405589</v>
      </c>
      <c r="M245" s="8">
        <f t="shared" si="14"/>
        <v>9.7699626167013776E-15</v>
      </c>
      <c r="N245" s="8">
        <f>B245^2* UnnormalizedLowerIncompleteGamma(2/2 + 1, (A245/B245)^(2)) + C245^2 *UnnormalizedUpperIncompleteGamma(2/3.6 + 1, (A245/C245)^(3.6)) - 1</f>
        <v>-1.5210055437364645E-14</v>
      </c>
      <c r="O245" s="8">
        <f t="shared" si="15"/>
        <v>-1.5210055437364645E-14</v>
      </c>
    </row>
    <row r="246" spans="1:15" x14ac:dyDescent="0.25">
      <c r="A246" s="9">
        <v>2.44999999999999</v>
      </c>
      <c r="B246" s="5">
        <v>1.0005961720584899</v>
      </c>
      <c r="C246" s="5">
        <v>1.48972636025764</v>
      </c>
      <c r="D246" s="5">
        <v>1.41592326982906</v>
      </c>
      <c r="E246" s="5">
        <v>1.7988056785206701</v>
      </c>
      <c r="F246" s="5">
        <v>2.1967215900031398</v>
      </c>
      <c r="G246" s="5">
        <v>2.3387902419593898</v>
      </c>
      <c r="H246" s="5">
        <v>2.4939051201489302</v>
      </c>
      <c r="I246" s="5">
        <v>2.6420569835876901</v>
      </c>
      <c r="J246" s="1"/>
      <c r="K246" s="10">
        <f t="shared" si="12"/>
        <v>0.98755951069325276</v>
      </c>
      <c r="L246" s="10">
        <f t="shared" si="13"/>
        <v>1.4901012225037349</v>
      </c>
      <c r="M246" s="8">
        <f t="shared" si="14"/>
        <v>1.0746958878371515E-13</v>
      </c>
      <c r="N246" s="8">
        <f>B246^2* UnnormalizedLowerIncompleteGamma(2/2 + 1, (A246/B246)^(2)) + C246^2 *UnnormalizedUpperIncompleteGamma(2/3.6 + 1, (A246/C246)^(3.6)) - 1</f>
        <v>-1.7430501486614958E-14</v>
      </c>
      <c r="O246" s="8">
        <f t="shared" si="15"/>
        <v>-1.7430501486614958E-14</v>
      </c>
    </row>
    <row r="247" spans="1:15" x14ac:dyDescent="0.25">
      <c r="A247" s="9">
        <v>2.4599999999999902</v>
      </c>
      <c r="B247" s="5">
        <v>1.00056714024032</v>
      </c>
      <c r="C247" s="5">
        <v>1.4924016973371099</v>
      </c>
      <c r="D247" s="5">
        <v>1.41591617744244</v>
      </c>
      <c r="E247" s="5">
        <v>1.7988667868635799</v>
      </c>
      <c r="F247" s="5">
        <v>2.1972243523154402</v>
      </c>
      <c r="G247" s="5">
        <v>2.3398553813538499</v>
      </c>
      <c r="H247" s="5">
        <v>2.4966652563674798</v>
      </c>
      <c r="I247" s="5">
        <v>2.64680174289574</v>
      </c>
      <c r="J247" s="1"/>
      <c r="K247" s="10">
        <f t="shared" si="12"/>
        <v>0.98728363282474907</v>
      </c>
      <c r="L247" s="10">
        <f t="shared" si="13"/>
        <v>1.4927507710655168</v>
      </c>
      <c r="M247" s="8">
        <f t="shared" si="14"/>
        <v>0</v>
      </c>
      <c r="N247" s="8">
        <f>B247^2* UnnormalizedLowerIncompleteGamma(2/2 + 1, (A247/B247)^(2)) + C247^2 *UnnormalizedUpperIncompleteGamma(2/3.6 + 1, (A247/C247)^(3.6)) - 1</f>
        <v>-1.5765166949677223E-14</v>
      </c>
      <c r="O247" s="8">
        <f t="shared" si="15"/>
        <v>-1.5765166949677223E-14</v>
      </c>
    </row>
    <row r="248" spans="1:15" x14ac:dyDescent="0.25">
      <c r="A248" s="9">
        <v>2.46999999999999</v>
      </c>
      <c r="B248" s="5">
        <v>1.0005394235506</v>
      </c>
      <c r="C248" s="5">
        <v>1.49507194969362</v>
      </c>
      <c r="D248" s="5">
        <v>1.4159092849232999</v>
      </c>
      <c r="E248" s="5">
        <v>1.7989247223108</v>
      </c>
      <c r="F248" s="5">
        <v>2.1977023161439599</v>
      </c>
      <c r="G248" s="5">
        <v>2.3408682232581799</v>
      </c>
      <c r="H248" s="5">
        <v>2.4992902417697</v>
      </c>
      <c r="I248" s="5">
        <v>2.6515374843544901</v>
      </c>
      <c r="J248" s="1"/>
      <c r="K248" s="10">
        <f t="shared" si="12"/>
        <v>0.98701280445492467</v>
      </c>
      <c r="L248" s="10">
        <f t="shared" si="13"/>
        <v>1.495395012965105</v>
      </c>
      <c r="M248" s="8">
        <f t="shared" si="14"/>
        <v>-6.8389738316909643E-14</v>
      </c>
      <c r="N248" s="8">
        <f>B248^2* UnnormalizedLowerIncompleteGamma(2/2 + 1, (A248/B248)^(2)) + C248^2 *UnnormalizedUpperIncompleteGamma(2/3.6 + 1, (A248/C248)^(3.6)) - 1</f>
        <v>-4.8849813083506888E-15</v>
      </c>
      <c r="O248" s="8">
        <f t="shared" si="15"/>
        <v>-4.8849813083506888E-15</v>
      </c>
    </row>
    <row r="249" spans="1:15" x14ac:dyDescent="0.25">
      <c r="A249" s="9">
        <v>2.4799999999999902</v>
      </c>
      <c r="B249" s="5">
        <v>1.0005129673706501</v>
      </c>
      <c r="C249" s="5">
        <v>1.4977371164281901</v>
      </c>
      <c r="D249" s="5">
        <v>1.41590259079944</v>
      </c>
      <c r="E249" s="5">
        <v>1.79897963939775</v>
      </c>
      <c r="F249" s="5">
        <v>2.19815662520439</v>
      </c>
      <c r="G249" s="5">
        <v>2.3418311672593202</v>
      </c>
      <c r="H249" s="5">
        <v>2.5017862583541102</v>
      </c>
      <c r="I249" s="5">
        <v>2.6562642063695701</v>
      </c>
      <c r="J249" s="1"/>
      <c r="K249" s="10">
        <f t="shared" si="12"/>
        <v>0.98674692822220256</v>
      </c>
      <c r="L249" s="10">
        <f t="shared" si="13"/>
        <v>1.4980339798278779</v>
      </c>
      <c r="M249" s="8">
        <f t="shared" si="14"/>
        <v>9.1482377229112899E-14</v>
      </c>
      <c r="N249" s="8">
        <f>B249^2* UnnormalizedLowerIncompleteGamma(2/2 + 1, (A249/B249)^(2)) + C249^2 *UnnormalizedUpperIncompleteGamma(2/3.6 + 1, (A249/C249)^(3.6)) - 1</f>
        <v>-9.4368957093138306E-15</v>
      </c>
      <c r="O249" s="8">
        <f t="shared" si="15"/>
        <v>-9.4368957093138306E-15</v>
      </c>
    </row>
    <row r="250" spans="1:15" x14ac:dyDescent="0.25">
      <c r="A250" s="9">
        <v>2.48999999999999</v>
      </c>
      <c r="B250" s="5">
        <v>1.0004877191210799</v>
      </c>
      <c r="C250" s="5">
        <v>1.5003971975888299</v>
      </c>
      <c r="D250" s="5">
        <v>1.4158960932846401</v>
      </c>
      <c r="E250" s="5">
        <v>1.7990316856600399</v>
      </c>
      <c r="F250" s="5">
        <v>2.1985883743602801</v>
      </c>
      <c r="G250" s="5">
        <v>2.3427465110524301</v>
      </c>
      <c r="H250" s="5">
        <v>2.5041592265559598</v>
      </c>
      <c r="I250" s="5">
        <v>2.6609819090261602</v>
      </c>
      <c r="J250" s="1"/>
      <c r="K250" s="10">
        <f t="shared" si="12"/>
        <v>0.9864859087708755</v>
      </c>
      <c r="L250" s="10">
        <f t="shared" si="13"/>
        <v>1.5006677039822638</v>
      </c>
      <c r="M250" s="8">
        <f t="shared" si="14"/>
        <v>4.5297099404706387E-14</v>
      </c>
      <c r="N250" s="8">
        <f>B250^2* UnnormalizedLowerIncompleteGamma(2/2 + 1, (A250/B250)^(2)) + C250^2 *UnnormalizedUpperIncompleteGamma(2/3.6 + 1, (A250/C250)^(3.6)) - 1</f>
        <v>-7.6605388699135801E-15</v>
      </c>
      <c r="O250" s="8">
        <f t="shared" si="15"/>
        <v>-7.6605388699135801E-15</v>
      </c>
    </row>
    <row r="251" spans="1:15" x14ac:dyDescent="0.25">
      <c r="A251" s="9">
        <v>2.4999999999999898</v>
      </c>
      <c r="B251" s="5">
        <v>1.0004636281949899</v>
      </c>
      <c r="C251" s="5">
        <v>1.5030521941380699</v>
      </c>
      <c r="D251" s="5">
        <v>1.4158897903079399</v>
      </c>
      <c r="E251" s="5">
        <v>1.799081001926</v>
      </c>
      <c r="F251" s="5">
        <v>2.19899861153884</v>
      </c>
      <c r="G251" s="5">
        <v>2.3436164544095899</v>
      </c>
      <c r="H251" s="5">
        <v>2.5064148153928398</v>
      </c>
      <c r="I251" s="5">
        <v>2.66569059403131</v>
      </c>
      <c r="J251" s="1"/>
      <c r="K251" s="10">
        <f t="shared" si="12"/>
        <v>0.98622965270625695</v>
      </c>
      <c r="L251" s="10">
        <f t="shared" si="13"/>
        <v>1.5032962184133889</v>
      </c>
      <c r="M251" s="8">
        <f t="shared" si="14"/>
        <v>5.6843418860808015E-14</v>
      </c>
      <c r="N251" s="8">
        <f>B251^2* UnnormalizedLowerIncompleteGamma(2/2 + 1, (A251/B251)^(2)) + C251^2 *UnnormalizedUpperIncompleteGamma(2/3.6 + 1, (A251/C251)^(3.6)) - 1</f>
        <v>-8.1046280797636427E-15</v>
      </c>
      <c r="O251" s="8">
        <f t="shared" si="15"/>
        <v>-8.1046280797636427E-15</v>
      </c>
    </row>
    <row r="252" spans="1:15" x14ac:dyDescent="0.25">
      <c r="A252" s="9">
        <v>2.50999999999999</v>
      </c>
      <c r="B252" s="5">
        <v>1.0004406458931201</v>
      </c>
      <c r="C252" s="5">
        <v>1.5057021079211099</v>
      </c>
      <c r="D252" s="5">
        <v>1.41588367954116</v>
      </c>
      <c r="E252" s="5">
        <v>1.7991277225978699</v>
      </c>
      <c r="F252" s="5">
        <v>2.1993883395778302</v>
      </c>
      <c r="G252" s="5">
        <v>2.3444431030067601</v>
      </c>
      <c r="H252" s="5">
        <v>2.50855845224942</v>
      </c>
      <c r="I252" s="5">
        <v>2.6703902646575202</v>
      </c>
      <c r="J252" s="1"/>
      <c r="K252" s="10">
        <f t="shared" si="12"/>
        <v>0.98597806855093539</v>
      </c>
      <c r="L252" s="10">
        <f t="shared" si="13"/>
        <v>1.505919556718476</v>
      </c>
      <c r="M252" s="8">
        <f t="shared" si="14"/>
        <v>5.8619775700208265E-14</v>
      </c>
      <c r="N252" s="8">
        <f>B252^2* UnnormalizedLowerIncompleteGamma(2/2 + 1, (A252/B252)^(2)) + C252^2 *UnnormalizedUpperIncompleteGamma(2/3.6 + 1, (A252/C252)^(3.6)) - 1</f>
        <v>-1.6320278461989801E-14</v>
      </c>
      <c r="O252" s="8">
        <f t="shared" si="15"/>
        <v>-1.6320278461989801E-14</v>
      </c>
    </row>
    <row r="253" spans="1:15" x14ac:dyDescent="0.25">
      <c r="A253" s="9">
        <v>2.5199999999999898</v>
      </c>
      <c r="B253" s="5">
        <v>1.0004187253608099</v>
      </c>
      <c r="C253" s="5">
        <v>1.5083469416347599</v>
      </c>
      <c r="D253" s="5">
        <v>1.4158777584248501</v>
      </c>
      <c r="E253" s="5">
        <v>1.7991719759222</v>
      </c>
      <c r="F253" s="5">
        <v>2.1997585180058201</v>
      </c>
      <c r="G253" s="5">
        <v>2.3452284721138299</v>
      </c>
      <c r="H253" s="5">
        <v>2.5105953323137999</v>
      </c>
      <c r="I253" s="5">
        <v>2.6750809256876198</v>
      </c>
      <c r="J253" s="1"/>
      <c r="K253" s="10">
        <f t="shared" si="12"/>
        <v>0.98573106670210386</v>
      </c>
      <c r="L253" s="10">
        <f t="shared" si="13"/>
        <v>1.5085377530639452</v>
      </c>
      <c r="M253" s="8">
        <f t="shared" si="14"/>
        <v>2.9309887850104133E-14</v>
      </c>
      <c r="N253" s="8">
        <f>B253^2* UnnormalizedLowerIncompleteGamma(2/2 + 1, (A253/B253)^(2)) + C253^2 *UnnormalizedUpperIncompleteGamma(2/3.6 + 1, (A253/C253)^(3.6)) - 1</f>
        <v>-1.0325074129013956E-14</v>
      </c>
      <c r="O253" s="8">
        <f t="shared" si="15"/>
        <v>-1.0325074129013956E-14</v>
      </c>
    </row>
    <row r="254" spans="1:15" x14ac:dyDescent="0.25">
      <c r="A254" s="9">
        <v>2.52999999999999</v>
      </c>
      <c r="B254" s="5">
        <v>1.0003978215267</v>
      </c>
      <c r="C254" s="5">
        <v>1.51098669879702</v>
      </c>
      <c r="D254" s="5">
        <v>1.41587202419259</v>
      </c>
      <c r="E254" s="5">
        <v>1.79921388424979</v>
      </c>
      <c r="F254" s="5">
        <v>2.20011006475811</v>
      </c>
      <c r="G254" s="5">
        <v>2.34597449015217</v>
      </c>
      <c r="H254" s="5">
        <v>2.5125304276768401</v>
      </c>
      <c r="I254" s="5">
        <v>2.67976258336087</v>
      </c>
      <c r="J254" s="1"/>
      <c r="K254" s="10">
        <f t="shared" si="12"/>
        <v>0.98548855938993296</v>
      </c>
      <c r="L254" s="10">
        <f t="shared" si="13"/>
        <v>1.5111508421441673</v>
      </c>
      <c r="M254" s="8">
        <f t="shared" si="14"/>
        <v>-8.6153306710912148E-14</v>
      </c>
      <c r="N254" s="8">
        <f>B254^2* UnnormalizedLowerIncompleteGamma(2/2 + 1, (A254/B254)^(2)) + C254^2 *UnnormalizedUpperIncompleteGamma(2/3.6 + 1, (A254/C254)^(3.6)) - 1</f>
        <v>-2.4424906541753444E-15</v>
      </c>
      <c r="O254" s="8">
        <f t="shared" si="15"/>
        <v>-2.4424906541753444E-15</v>
      </c>
    </row>
    <row r="255" spans="1:15" x14ac:dyDescent="0.25">
      <c r="A255" s="9">
        <v>2.5399999999999898</v>
      </c>
      <c r="B255" s="5">
        <v>1.00037789104321</v>
      </c>
      <c r="C255" s="5">
        <v>1.5136213837174199</v>
      </c>
      <c r="D255" s="5">
        <v>1.41586647389381</v>
      </c>
      <c r="E255" s="5">
        <v>1.79925356428556</v>
      </c>
      <c r="F255" s="5">
        <v>2.2004438578304399</v>
      </c>
      <c r="G255" s="5">
        <v>2.3466830021244398</v>
      </c>
      <c r="H255" s="5">
        <v>2.5143684961059898</v>
      </c>
      <c r="I255" s="5">
        <v>2.6844352453202598</v>
      </c>
      <c r="J255" s="1"/>
      <c r="K255" s="10">
        <f t="shared" si="12"/>
        <v>0.98525046063696164</v>
      </c>
      <c r="L255" s="10">
        <f t="shared" si="13"/>
        <v>1.5137588591418163</v>
      </c>
      <c r="M255" s="8">
        <f t="shared" si="14"/>
        <v>1.3056222769591841E-13</v>
      </c>
      <c r="N255" s="8">
        <f>B255^2* UnnormalizedLowerIncompleteGamma(2/2 + 1, (A255/B255)^(2)) + C255^2 *UnnormalizedUpperIncompleteGamma(2/3.6 + 1, (A255/C255)^(3.6)) - 1</f>
        <v>-1.8096635301390052E-14</v>
      </c>
      <c r="O255" s="8">
        <f t="shared" si="15"/>
        <v>-1.8096635301390052E-14</v>
      </c>
    </row>
    <row r="256" spans="1:15" x14ac:dyDescent="0.25">
      <c r="A256" s="9">
        <v>2.5499999999999901</v>
      </c>
      <c r="B256" s="5">
        <v>1.0003588922287501</v>
      </c>
      <c r="C256" s="5">
        <v>1.51625100146795</v>
      </c>
      <c r="D256" s="5">
        <v>1.4158611044152001</v>
      </c>
      <c r="E256" s="5">
        <v>1.79929112732871</v>
      </c>
      <c r="F256" s="5">
        <v>2.2007607368727302</v>
      </c>
      <c r="G256" s="5">
        <v>2.3473557729206802</v>
      </c>
      <c r="H256" s="5">
        <v>2.51611408950447</v>
      </c>
      <c r="I256" s="5">
        <v>2.68909892056109</v>
      </c>
      <c r="J256" s="1"/>
      <c r="K256" s="10">
        <f t="shared" si="12"/>
        <v>0.98501668621847527</v>
      </c>
      <c r="L256" s="10">
        <f t="shared" si="13"/>
        <v>1.5163618396897802</v>
      </c>
      <c r="M256" s="8">
        <f t="shared" si="14"/>
        <v>1.2789769243681803E-13</v>
      </c>
      <c r="N256" s="8">
        <f>B256^2* UnnormalizedLowerIncompleteGamma(2/2 + 1, (A256/B256)^(2)) + C256^2 *UnnormalizedUpperIncompleteGamma(2/3.6 + 1, (A256/C256)^(3.6)) - 1</f>
        <v>-1.3766765505351941E-14</v>
      </c>
      <c r="O256" s="8">
        <f t="shared" si="15"/>
        <v>-1.3766765505351941E-14</v>
      </c>
    </row>
    <row r="257" spans="1:15" x14ac:dyDescent="0.25">
      <c r="A257" s="9">
        <v>2.5599999999999898</v>
      </c>
      <c r="B257" s="5">
        <v>1.0003407850114601</v>
      </c>
      <c r="C257" s="5">
        <v>1.5188755578547599</v>
      </c>
      <c r="D257" s="5">
        <v>1.4158559125007499</v>
      </c>
      <c r="E257" s="5">
        <v>1.7993266795035101</v>
      </c>
      <c r="F257" s="5">
        <v>2.2010615047246902</v>
      </c>
      <c r="G257" s="5">
        <v>2.3479944905050201</v>
      </c>
      <c r="H257" s="5">
        <v>2.5177715620662902</v>
      </c>
      <c r="I257" s="5">
        <v>2.6937536193806801</v>
      </c>
      <c r="J257" s="1"/>
      <c r="K257" s="10">
        <f t="shared" si="12"/>
        <v>0.98478715362384672</v>
      </c>
      <c r="L257" s="10">
        <f t="shared" si="13"/>
        <v>1.5189598198345746</v>
      </c>
      <c r="M257" s="8">
        <f t="shared" si="14"/>
        <v>3.1974423109204508E-14</v>
      </c>
      <c r="N257" s="8">
        <f>B257^2* UnnormalizedLowerIncompleteGamma(2/2 + 1, (A257/B257)^(2)) + C257^2 *UnnormalizedUpperIncompleteGamma(2/3.6 + 1, (A257/C257)^(3.6)) - 1</f>
        <v>-1.099120794378905E-14</v>
      </c>
      <c r="O257" s="8">
        <f t="shared" si="15"/>
        <v>-1.099120794378905E-14</v>
      </c>
    </row>
    <row r="258" spans="1:15" x14ac:dyDescent="0.25">
      <c r="A258" s="9">
        <v>2.5699999999999901</v>
      </c>
      <c r="B258" s="5">
        <v>1.0003235308746801</v>
      </c>
      <c r="C258" s="5">
        <v>1.5214950593904799</v>
      </c>
      <c r="D258" s="5">
        <v>1.41585089477047</v>
      </c>
      <c r="E258" s="5">
        <v>1.7993603219810901</v>
      </c>
      <c r="F258" s="5">
        <v>2.2013469288954699</v>
      </c>
      <c r="G258" s="5">
        <v>2.3486007689869299</v>
      </c>
      <c r="H258" s="5">
        <v>2.5193450781372499</v>
      </c>
      <c r="I258" s="5">
        <v>2.6983993533292798</v>
      </c>
      <c r="J258" s="1"/>
      <c r="K258" s="10">
        <f t="shared" si="12"/>
        <v>0.98456178201881284</v>
      </c>
      <c r="L258" s="10">
        <f t="shared" si="13"/>
        <v>1.5215528360012194</v>
      </c>
      <c r="M258" s="8">
        <f t="shared" si="14"/>
        <v>5.6843418860808015E-14</v>
      </c>
      <c r="N258" s="8">
        <f>B258^2* UnnormalizedLowerIncompleteGamma(2/2 + 1, (A258/B258)^(2)) + C258^2 *UnnormalizedUpperIncompleteGamma(2/3.6 + 1, (A258/C258)^(3.6)) - 1</f>
        <v>-1.6764367671839864E-14</v>
      </c>
      <c r="O258" s="8">
        <f t="shared" si="15"/>
        <v>-1.6764367671839864E-14</v>
      </c>
    </row>
    <row r="259" spans="1:15" x14ac:dyDescent="0.25">
      <c r="A259" s="9">
        <v>2.5799999999999899</v>
      </c>
      <c r="B259" s="5">
        <v>1.0003070928039599</v>
      </c>
      <c r="C259" s="5">
        <v>1.52410951326717</v>
      </c>
      <c r="D259" s="5">
        <v>1.4158460477379</v>
      </c>
      <c r="E259" s="5">
        <v>1.79939215119248</v>
      </c>
      <c r="F259" s="5">
        <v>2.20161774298905</v>
      </c>
      <c r="G259" s="5">
        <v>2.3491761515809801</v>
      </c>
      <c r="H259" s="5">
        <v>2.5208386197919102</v>
      </c>
      <c r="I259" s="5">
        <v>2.7030361351621401</v>
      </c>
      <c r="J259" s="1"/>
      <c r="K259" s="10">
        <f t="shared" ref="K259:K322" si="16">GetH1Initial(A259)</f>
        <v>0.98434049220866215</v>
      </c>
      <c r="L259" s="10">
        <f t="shared" ref="L259:L322" si="17">GetH2Initial(A259)</f>
        <v>1.5241409249595277</v>
      </c>
      <c r="M259" s="8">
        <f t="shared" ref="M259:M322" si="18">(A259/B259)^2-(A259/C259)^3.6</f>
        <v>-3.730349362740526E-14</v>
      </c>
      <c r="N259" s="8">
        <f>B259^2* UnnormalizedLowerIncompleteGamma(2/2 + 1, (A259/B259)^(2)) + C259^2 *UnnormalizedUpperIncompleteGamma(2/3.6 + 1, (A259/C259)^(3.6)) - 1</f>
        <v>-5.6621374255882984E-15</v>
      </c>
      <c r="O259" s="8">
        <f t="shared" ref="O259:O322" si="19">CalculateF1_ForCell(A259,B259,C259)</f>
        <v>-5.6621374255882984E-15</v>
      </c>
    </row>
    <row r="260" spans="1:15" x14ac:dyDescent="0.25">
      <c r="A260" s="9">
        <v>2.5899999999999901</v>
      </c>
      <c r="B260" s="5">
        <v>1.0002914352355401</v>
      </c>
      <c r="C260" s="5">
        <v>1.5267189273299699</v>
      </c>
      <c r="D260" s="5">
        <v>1.4158413678264601</v>
      </c>
      <c r="E260" s="5">
        <v>1.7994222590333699</v>
      </c>
      <c r="F260" s="5">
        <v>2.2018746480774101</v>
      </c>
      <c r="G260" s="5">
        <v>2.3497221134587001</v>
      </c>
      <c r="H260" s="5">
        <v>2.52225599413579</v>
      </c>
      <c r="I260" s="5">
        <v>2.7076639787927599</v>
      </c>
      <c r="J260" s="1"/>
      <c r="K260" s="10">
        <f t="shared" si="16"/>
        <v>0.9841232066023089</v>
      </c>
      <c r="L260" s="10">
        <f t="shared" si="17"/>
        <v>1.5267241237917681</v>
      </c>
      <c r="M260" s="8">
        <f t="shared" si="18"/>
        <v>1.0658141036401503E-13</v>
      </c>
      <c r="N260" s="8">
        <f>B260^2* UnnormalizedLowerIncompleteGamma(2/2 + 1, (A260/B260)^(2)) + C260^2 *UnnormalizedUpperIncompleteGamma(2/3.6 + 1, (A260/C260)^(3.6)) - 1</f>
        <v>-1.354472090042691E-14</v>
      </c>
      <c r="O260" s="8">
        <f t="shared" si="19"/>
        <v>-1.354472090042691E-14</v>
      </c>
    </row>
    <row r="261" spans="1:15" x14ac:dyDescent="0.25">
      <c r="A261" s="9">
        <v>2.5999999999999899</v>
      </c>
      <c r="B261" s="5">
        <v>1.00027652400645</v>
      </c>
      <c r="C261" s="5">
        <v>1.5293233100513299</v>
      </c>
      <c r="D261" s="5">
        <v>1.41583685138466</v>
      </c>
      <c r="E261" s="5">
        <v>1.79945073306065</v>
      </c>
      <c r="F261" s="5">
        <v>2.20211831402304</v>
      </c>
      <c r="G261" s="5">
        <v>2.3502400644963299</v>
      </c>
      <c r="H261" s="5">
        <v>2.5236008403421302</v>
      </c>
      <c r="I261" s="5">
        <v>2.7122828992471999</v>
      </c>
      <c r="J261" s="1"/>
      <c r="K261" s="10">
        <f t="shared" si="16"/>
        <v>0.98390984917723001</v>
      </c>
      <c r="L261" s="10">
        <f t="shared" si="17"/>
        <v>1.5293024698616509</v>
      </c>
      <c r="M261" s="8">
        <f t="shared" si="18"/>
        <v>5.3290705182007514E-14</v>
      </c>
      <c r="N261" s="8">
        <f>B261^2* UnnormalizedLowerIncompleteGamma(2/2 + 1, (A261/B261)^(2)) + C261^2 *UnnormalizedUpperIncompleteGamma(2/3.6 + 1, (A261/C261)^(3.6)) - 1</f>
        <v>-1.0103029524088925E-14</v>
      </c>
      <c r="O261" s="8">
        <f t="shared" si="19"/>
        <v>-1.0103029524088925E-14</v>
      </c>
    </row>
    <row r="262" spans="1:15" x14ac:dyDescent="0.25">
      <c r="A262" s="9">
        <v>2.6099999999999901</v>
      </c>
      <c r="B262" s="5">
        <v>1.00026232630593</v>
      </c>
      <c r="C262" s="5">
        <v>1.5319226705059501</v>
      </c>
      <c r="D262" s="5">
        <v>1.4158324947002801</v>
      </c>
      <c r="E262" s="5">
        <v>1.79947765668131</v>
      </c>
      <c r="F262" s="5">
        <v>2.2023493807526302</v>
      </c>
      <c r="G262" s="5">
        <v>2.3507313519218198</v>
      </c>
      <c r="H262" s="5">
        <v>2.5248766364320199</v>
      </c>
      <c r="I262" s="5">
        <v>2.71689291261958</v>
      </c>
      <c r="J262" s="1"/>
      <c r="K262" s="10">
        <f t="shared" si="16"/>
        <v>0.98370034544524154</v>
      </c>
      <c r="L262" s="10">
        <f t="shared" si="17"/>
        <v>1.5318760007845995</v>
      </c>
      <c r="M262" s="8">
        <f t="shared" si="18"/>
        <v>1.5809575870662229E-13</v>
      </c>
      <c r="N262" s="8">
        <f>B262^2* UnnormalizedLowerIncompleteGamma(2/2 + 1, (A262/B262)^(2)) + C262^2 *UnnormalizedUpperIncompleteGamma(2/3.6 + 1, (A262/C262)^(3.6)) - 1</f>
        <v>-1.6320278461989801E-14</v>
      </c>
      <c r="O262" s="8">
        <f t="shared" si="19"/>
        <v>-1.6320278461989801E-14</v>
      </c>
    </row>
    <row r="263" spans="1:15" x14ac:dyDescent="0.25">
      <c r="A263" s="9">
        <v>2.6199999999999899</v>
      </c>
      <c r="B263" s="5">
        <v>1.0002488106284</v>
      </c>
      <c r="C263" s="5">
        <v>1.53451701834624</v>
      </c>
      <c r="D263" s="5">
        <v>1.4158282940135001</v>
      </c>
      <c r="E263" s="5">
        <v>1.7995031093336999</v>
      </c>
      <c r="F263" s="5">
        <v>2.2025684594836501</v>
      </c>
      <c r="G263" s="5">
        <v>2.3511972628645701</v>
      </c>
      <c r="H263" s="5">
        <v>2.52608670580649</v>
      </c>
      <c r="I263" s="5">
        <v>2.7214940360286599</v>
      </c>
      <c r="J263" s="1"/>
      <c r="K263" s="10">
        <f t="shared" si="16"/>
        <v>0.98349462241909325</v>
      </c>
      <c r="L263" s="10">
        <f t="shared" si="17"/>
        <v>1.5344447543992661</v>
      </c>
      <c r="M263" s="8">
        <f t="shared" si="18"/>
        <v>-2.4868995751603507E-14</v>
      </c>
      <c r="N263" s="8">
        <f>B263^2* UnnormalizedLowerIncompleteGamma(2/2 + 1, (A263/B263)^(2)) + C263^2 *UnnormalizedUpperIncompleteGamma(2/3.6 + 1, (A263/C263)^(3.6)) - 1</f>
        <v>-6.8833827526759706E-15</v>
      </c>
      <c r="O263" s="8">
        <f t="shared" si="19"/>
        <v>-6.8833827526759706E-15</v>
      </c>
    </row>
    <row r="264" spans="1:15" x14ac:dyDescent="0.25">
      <c r="A264" s="9">
        <v>2.6299999999999901</v>
      </c>
      <c r="B264" s="5">
        <v>1.0002359467277</v>
      </c>
      <c r="C264" s="5">
        <v>1.5371063637785101</v>
      </c>
      <c r="D264" s="5">
        <v>1.4158242455291301</v>
      </c>
      <c r="E264" s="5">
        <v>1.7995271666617001</v>
      </c>
      <c r="F264" s="5">
        <v>2.2027761339051999</v>
      </c>
      <c r="G264" s="5">
        <v>2.3516390268110801</v>
      </c>
      <c r="H264" s="5">
        <v>2.5272342235387999</v>
      </c>
      <c r="I264" s="5">
        <v>2.7260848280596801</v>
      </c>
      <c r="J264" s="1"/>
      <c r="K264" s="10">
        <f t="shared" si="16"/>
        <v>0.98329260857985878</v>
      </c>
      <c r="L264" s="10">
        <f t="shared" si="17"/>
        <v>1.5370087687402465</v>
      </c>
      <c r="M264" s="8">
        <f t="shared" si="18"/>
        <v>8.8817841970012523E-14</v>
      </c>
      <c r="N264" s="8">
        <f>B264^2* UnnormalizedLowerIncompleteGamma(2/2 + 1, (A264/B264)^(2)) + C264^2 *UnnormalizedUpperIncompleteGamma(2/3.6 + 1, (A264/C264)^(3.6)) - 1</f>
        <v>-1.5210055437364645E-14</v>
      </c>
      <c r="O264" s="8">
        <f t="shared" si="19"/>
        <v>-1.5210055437364645E-14</v>
      </c>
    </row>
    <row r="265" spans="1:15" x14ac:dyDescent="0.25">
      <c r="A265" s="9">
        <v>2.6399999999999899</v>
      </c>
      <c r="B265" s="5">
        <v>1.00022370557282</v>
      </c>
      <c r="C265" s="5">
        <v>1.5396907175396299</v>
      </c>
      <c r="D265" s="5">
        <v>1.4158203454279299</v>
      </c>
      <c r="E265" s="5">
        <v>1.7995499006817799</v>
      </c>
      <c r="F265" s="5">
        <v>2.2029729613148898</v>
      </c>
      <c r="G265" s="5">
        <v>2.35205781796973</v>
      </c>
      <c r="H265" s="5">
        <v>2.5283222224349999</v>
      </c>
      <c r="I265" s="5">
        <v>2.73052717696154</v>
      </c>
      <c r="J265" s="1"/>
      <c r="K265" s="10">
        <f t="shared" si="16"/>
        <v>0.98309423384510064</v>
      </c>
      <c r="L265" s="10">
        <f t="shared" si="17"/>
        <v>1.5395680820119595</v>
      </c>
      <c r="M265" s="8">
        <f t="shared" si="18"/>
        <v>-3.6415315207705135E-14</v>
      </c>
      <c r="N265" s="8">
        <f>B265^2* UnnormalizedLowerIncompleteGamma(2/2 + 1, (A265/B265)^(2)) + C265^2 *UnnormalizedUpperIncompleteGamma(2/3.6 + 1, (A265/C265)^(3.6)) - 1</f>
        <v>-6.6613381477509392E-15</v>
      </c>
      <c r="O265" s="8">
        <f t="shared" si="19"/>
        <v>-6.6613381477509392E-15</v>
      </c>
    </row>
    <row r="266" spans="1:15" x14ac:dyDescent="0.25">
      <c r="A266" s="9">
        <v>2.6499999999999901</v>
      </c>
      <c r="B266" s="5">
        <v>1.0002120593048101</v>
      </c>
      <c r="C266" s="5">
        <v>1.54227009087442</v>
      </c>
      <c r="D266" s="5">
        <v>1.4158165898770001</v>
      </c>
      <c r="E266" s="5">
        <v>1.7995713799434401</v>
      </c>
      <c r="F266" s="5">
        <v>2.2031594737131801</v>
      </c>
      <c r="G266" s="5">
        <v>2.3524547575477599</v>
      </c>
      <c r="H266" s="5">
        <v>2.5293535988704998</v>
      </c>
      <c r="I266" s="5">
        <v>2.7347386450948599</v>
      </c>
      <c r="J266" s="1"/>
      <c r="K266" s="10">
        <f t="shared" si="16"/>
        <v>0.98289942953778986</v>
      </c>
      <c r="L266" s="10">
        <f t="shared" si="17"/>
        <v>1.5421227325636506</v>
      </c>
      <c r="M266" s="8">
        <f t="shared" si="18"/>
        <v>-7.9936057773011271E-14</v>
      </c>
      <c r="N266" s="8">
        <f>B266^2* UnnormalizedLowerIncompleteGamma(2/2 + 1, (A266/B266)^(2)) + C266^2 *UnnormalizedUpperIncompleteGamma(2/3.6 + 1, (A266/C266)^(3.6)) - 1</f>
        <v>-1.3322676295501878E-15</v>
      </c>
      <c r="O266" s="8">
        <f t="shared" si="19"/>
        <v>-1.3322676295501878E-15</v>
      </c>
    </row>
    <row r="267" spans="1:15" x14ac:dyDescent="0.25">
      <c r="A267" s="9">
        <v>2.6599999999999899</v>
      </c>
      <c r="B267" s="5">
        <v>1.00020098119509</v>
      </c>
      <c r="C267" s="5">
        <v>1.5448444955135301</v>
      </c>
      <c r="D267" s="5">
        <v>1.4158129750395001</v>
      </c>
      <c r="E267" s="5">
        <v>1.79959166968316</v>
      </c>
      <c r="F267" s="5">
        <v>2.20333617885652</v>
      </c>
      <c r="G267" s="5">
        <v>2.3528309159433398</v>
      </c>
      <c r="H267" s="5">
        <v>2.53033111841015</v>
      </c>
      <c r="I267" s="5">
        <v>2.7387304920056099</v>
      </c>
      <c r="J267" s="1"/>
      <c r="K267" s="10">
        <f t="shared" si="16"/>
        <v>0.98270812835596089</v>
      </c>
      <c r="L267" s="10">
        <f t="shared" si="17"/>
        <v>1.5446727588654789</v>
      </c>
      <c r="M267" s="8">
        <f t="shared" si="18"/>
        <v>-1.865174681370263E-14</v>
      </c>
      <c r="N267" s="8">
        <f>B267^2* UnnormalizedLowerIncompleteGamma(2/2 + 1, (A267/B267)^(2)) + C267^2 *UnnormalizedUpperIncompleteGamma(2/3.6 + 1, (A267/C267)^(3.6)) - 1</f>
        <v>-4.2188474935755949E-15</v>
      </c>
      <c r="O267" s="8">
        <f t="shared" si="19"/>
        <v>-4.2188474935755949E-15</v>
      </c>
    </row>
    <row r="268" spans="1:15" x14ac:dyDescent="0.25">
      <c r="A268" s="9">
        <v>2.6699999999999902</v>
      </c>
      <c r="B268" s="5">
        <v>1.0001904456049799</v>
      </c>
      <c r="C268" s="5">
        <v>1.5474139436519401</v>
      </c>
      <c r="D268" s="5">
        <v>1.4158094970834401</v>
      </c>
      <c r="E268" s="5">
        <v>1.79961083197209</v>
      </c>
      <c r="F268" s="5">
        <v>2.20350356127092</v>
      </c>
      <c r="G268" s="5">
        <v>2.3531873148556701</v>
      </c>
      <c r="H268" s="5">
        <v>2.53125742121905</v>
      </c>
      <c r="I268" s="5">
        <v>2.74251346759621</v>
      </c>
      <c r="J268" s="1"/>
      <c r="K268" s="10">
        <f t="shared" si="16"/>
        <v>0.98252026434308115</v>
      </c>
      <c r="L268" s="10">
        <f t="shared" si="17"/>
        <v>1.547218199485658</v>
      </c>
      <c r="M268" s="8">
        <f t="shared" si="18"/>
        <v>-4.8849813083506888E-14</v>
      </c>
      <c r="N268" s="8">
        <f>B268^2* UnnormalizedLowerIncompleteGamma(2/2 + 1, (A268/B268)^(2)) + C268^2 *UnnormalizedUpperIncompleteGamma(2/3.6 + 1, (A268/C268)^(3.6)) - 1</f>
        <v>-2.6645352591003757E-15</v>
      </c>
      <c r="O268" s="8">
        <f t="shared" si="19"/>
        <v>-2.6645352591003757E-15</v>
      </c>
    </row>
    <row r="269" spans="1:15" x14ac:dyDescent="0.25">
      <c r="A269" s="9">
        <v>2.6799999999999899</v>
      </c>
      <c r="B269" s="5">
        <v>1.0001804279464299</v>
      </c>
      <c r="C269" s="5">
        <v>1.5499784479280401</v>
      </c>
      <c r="D269" s="5">
        <v>1.4158061521898899</v>
      </c>
      <c r="E269" s="5">
        <v>1.7996289258578</v>
      </c>
      <c r="F269" s="5">
        <v>2.20366208322702</v>
      </c>
      <c r="G269" s="5">
        <v>2.3535249293158498</v>
      </c>
      <c r="H269" s="5">
        <v>2.5321350272712402</v>
      </c>
      <c r="I269" s="5">
        <v>2.7460978332497898</v>
      </c>
      <c r="J269" s="1"/>
      <c r="K269" s="10">
        <f t="shared" si="16"/>
        <v>0.98233577285911855</v>
      </c>
      <c r="L269" s="10">
        <f t="shared" si="17"/>
        <v>1.549759093068606</v>
      </c>
      <c r="M269" s="8">
        <f t="shared" si="18"/>
        <v>1.5099033134902129E-14</v>
      </c>
      <c r="N269" s="8">
        <f>B269^2* UnnormalizedLowerIncompleteGamma(2/2 + 1, (A269/B269)^(2)) + C269^2 *UnnormalizedUpperIncompleteGamma(2/3.6 + 1, (A269/C269)^(3.6)) - 1</f>
        <v>-1.4765966227514582E-14</v>
      </c>
      <c r="O269" s="8">
        <f t="shared" si="19"/>
        <v>-1.4765966227514582E-14</v>
      </c>
    </row>
    <row r="270" spans="1:15" x14ac:dyDescent="0.25">
      <c r="A270" s="9">
        <v>2.6899999999999902</v>
      </c>
      <c r="B270" s="5">
        <v>1.0001709046440199</v>
      </c>
      <c r="C270" s="5">
        <v>1.55253802140325</v>
      </c>
      <c r="D270" s="5">
        <v>1.4158029365603899</v>
      </c>
      <c r="E270" s="5">
        <v>1.7996460075001599</v>
      </c>
      <c r="F270" s="5">
        <v>2.2038121856782098</v>
      </c>
      <c r="G270" s="5">
        <v>2.35384468964113</v>
      </c>
      <c r="H270" s="5">
        <v>2.5329663413628798</v>
      </c>
      <c r="I270" s="5">
        <v>2.74949338216397</v>
      </c>
      <c r="J270" s="1"/>
      <c r="K270" s="10">
        <f t="shared" si="16"/>
        <v>0.98215459055228693</v>
      </c>
      <c r="L270" s="10">
        <f t="shared" si="17"/>
        <v>1.5522954783140788</v>
      </c>
      <c r="M270" s="8">
        <f t="shared" si="18"/>
        <v>-5.4178883601707639E-14</v>
      </c>
      <c r="N270" s="8">
        <f>B270^2* UnnormalizedLowerIncompleteGamma(2/2 + 1, (A270/B270)^(2)) + C270^2 *UnnormalizedUpperIncompleteGamma(2/3.6 + 1, (A270/C270)^(3.6)) - 1</f>
        <v>-4.6629367034256575E-15</v>
      </c>
      <c r="O270" s="8">
        <f t="shared" si="19"/>
        <v>-4.6629367034256575E-15</v>
      </c>
    </row>
    <row r="271" spans="1:15" x14ac:dyDescent="0.25">
      <c r="A271" s="9">
        <v>2.69999999999999</v>
      </c>
      <c r="B271" s="5">
        <v>1.0001618530980201</v>
      </c>
      <c r="C271" s="5">
        <v>1.5550926775422</v>
      </c>
      <c r="D271" s="5">
        <v>1.4157998464238</v>
      </c>
      <c r="E271" s="5">
        <v>1.7996621303017299</v>
      </c>
      <c r="F271" s="5">
        <v>2.20395428916295</v>
      </c>
      <c r="G271" s="5">
        <v>2.3541474833153102</v>
      </c>
      <c r="H271" s="5">
        <v>2.5337536579367401</v>
      </c>
      <c r="I271" s="5">
        <v>2.7527094589207599</v>
      </c>
      <c r="J271" s="1"/>
      <c r="K271" s="10">
        <f t="shared" si="16"/>
        <v>0.98197665533145362</v>
      </c>
      <c r="L271" s="10">
        <f t="shared" si="17"/>
        <v>1.5548273939572448</v>
      </c>
      <c r="M271" s="8">
        <f t="shared" si="18"/>
        <v>-5.0626169922907138E-14</v>
      </c>
      <c r="N271" s="8">
        <f>B271^2* UnnormalizedLowerIncompleteGamma(2/2 + 1, (A271/B271)^(2)) + C271^2 *UnnormalizedUpperIncompleteGamma(2/3.6 + 1, (A271/C271)^(3.6)) - 1</f>
        <v>-4.9960036108132044E-15</v>
      </c>
      <c r="O271" s="8">
        <f t="shared" si="19"/>
        <v>-4.9960036108132044E-15</v>
      </c>
    </row>
    <row r="272" spans="1:15" x14ac:dyDescent="0.25">
      <c r="A272" s="9">
        <v>2.7099999999999902</v>
      </c>
      <c r="B272" s="5">
        <v>1.0001532516487099</v>
      </c>
      <c r="C272" s="5">
        <v>1.5576424301934699</v>
      </c>
      <c r="D272" s="5">
        <v>1.4157968780424699</v>
      </c>
      <c r="E272" s="5">
        <v>1.7996773450327399</v>
      </c>
      <c r="F272" s="5">
        <v>2.2040887946724799</v>
      </c>
      <c r="G272" s="5">
        <v>2.3544341567975899</v>
      </c>
      <c r="H272" s="5">
        <v>2.5344991657241498</v>
      </c>
      <c r="I272" s="5">
        <v>2.7557549783183699</v>
      </c>
      <c r="J272" s="1"/>
      <c r="K272" s="10">
        <f t="shared" si="16"/>
        <v>0.98180190633919029</v>
      </c>
      <c r="L272" s="10">
        <f t="shared" si="17"/>
        <v>1.5573548787496763</v>
      </c>
      <c r="M272" s="8">
        <f t="shared" si="18"/>
        <v>2.6645352591003757E-14</v>
      </c>
      <c r="N272" s="8">
        <f>B272^2* UnnormalizedLowerIncompleteGamma(2/2 + 1, (A272/B272)^(2)) + C272^2 *UnnormalizedUpperIncompleteGamma(2/3.6 + 1, (A272/C272)^(3.6)) - 1</f>
        <v>-6.106226635438361E-15</v>
      </c>
      <c r="O272" s="8">
        <f t="shared" si="19"/>
        <v>-6.106226635438361E-15</v>
      </c>
    </row>
    <row r="273" spans="1:15" x14ac:dyDescent="0.25">
      <c r="A273" s="9">
        <v>2.71999999999999</v>
      </c>
      <c r="B273" s="5">
        <v>1.0001450795417299</v>
      </c>
      <c r="C273" s="5">
        <v>1.5601872935708401</v>
      </c>
      <c r="D273" s="5">
        <v>1.41579402771791</v>
      </c>
      <c r="E273" s="5">
        <v>1.79969169995095</v>
      </c>
      <c r="F273" s="5">
        <v>2.2042160844852599</v>
      </c>
      <c r="G273" s="5">
        <v>2.3547055172625102</v>
      </c>
      <c r="H273" s="5">
        <v>2.5352049522107998</v>
      </c>
      <c r="I273" s="5">
        <v>2.7586384434897901</v>
      </c>
      <c r="J273" s="1"/>
      <c r="K273" s="10">
        <f t="shared" si="16"/>
        <v>0.98163028392545237</v>
      </c>
      <c r="L273" s="10">
        <f t="shared" si="17"/>
        <v>1.5598779714412152</v>
      </c>
      <c r="M273" s="8">
        <f t="shared" si="18"/>
        <v>3.5527136788005009E-14</v>
      </c>
      <c r="N273" s="8">
        <f>B273^2* UnnormalizedLowerIncompleteGamma(2/2 + 1, (A273/B273)^(2)) + C273^2 *UnnormalizedUpperIncompleteGamma(2/3.6 + 1, (A273/C273)^(3.6)) - 1</f>
        <v>0</v>
      </c>
      <c r="O273" s="8">
        <f t="shared" si="19"/>
        <v>-1.1102230246251565E-16</v>
      </c>
    </row>
    <row r="274" spans="1:15" x14ac:dyDescent="0.25">
      <c r="A274" s="9">
        <v>2.7299999999999902</v>
      </c>
      <c r="B274" s="5">
        <v>1.00013731689452</v>
      </c>
      <c r="C274" s="5">
        <v>1.5627272822350999</v>
      </c>
      <c r="D274" s="5">
        <v>1.41579129179582</v>
      </c>
      <c r="E274" s="5">
        <v>1.79970524091646</v>
      </c>
      <c r="F274" s="5">
        <v>2.2043365229691299</v>
      </c>
      <c r="G274" s="5">
        <v>2.3549623342731301</v>
      </c>
      <c r="H274" s="5">
        <v>2.53587300793221</v>
      </c>
      <c r="I274" s="5">
        <v>2.7613679633323098</v>
      </c>
      <c r="J274" s="1"/>
      <c r="K274" s="10">
        <f t="shared" si="16"/>
        <v>0.98146172962186928</v>
      </c>
      <c r="L274" s="10">
        <f t="shared" si="17"/>
        <v>1.5623967107626948</v>
      </c>
      <c r="M274" s="8">
        <f t="shared" si="18"/>
        <v>1.6608936448392342E-13</v>
      </c>
      <c r="N274" s="8">
        <f>B274^2* UnnormalizedLowerIncompleteGamma(2/2 + 1, (A274/B274)^(2)) + C274^2 *UnnormalizedUpperIncompleteGamma(2/3.6 + 1, (A274/C274)^(3.6)) - 1</f>
        <v>-1.8318679906315083E-14</v>
      </c>
      <c r="O274" s="8">
        <f t="shared" si="19"/>
        <v>-1.8318679906315083E-14</v>
      </c>
    </row>
    <row r="275" spans="1:15" x14ac:dyDescent="0.25">
      <c r="A275" s="9">
        <v>2.73999999999999</v>
      </c>
      <c r="B275" s="5">
        <v>1.0001299446639</v>
      </c>
      <c r="C275" s="5">
        <v>1.56526241107636</v>
      </c>
      <c r="D275" s="5">
        <v>1.41578866667071</v>
      </c>
      <c r="E275" s="5">
        <v>1.7997180115018701</v>
      </c>
      <c r="F275" s="5">
        <v>2.2044504573523902</v>
      </c>
      <c r="G275" s="5">
        <v>2.3552053413899001</v>
      </c>
      <c r="H275" s="5">
        <v>2.53650523060471</v>
      </c>
      <c r="I275" s="5">
        <v>2.7639512692713502</v>
      </c>
      <c r="J275" s="1"/>
      <c r="K275" s="10">
        <f t="shared" si="16"/>
        <v>0.98129618611663061</v>
      </c>
      <c r="L275" s="10">
        <f t="shared" si="17"/>
        <v>1.5649111354094751</v>
      </c>
      <c r="M275" s="8">
        <f t="shared" si="18"/>
        <v>-1.021405182655144E-13</v>
      </c>
      <c r="N275" s="8">
        <f>B275^2* UnnormalizedLowerIncompleteGamma(2/2 + 1, (A275/B275)^(2)) + C275^2 *UnnormalizedUpperIncompleteGamma(2/3.6 + 1, (A275/C275)^(3.6)) - 1</f>
        <v>-8.8817841970012523E-16</v>
      </c>
      <c r="O275" s="8">
        <f t="shared" si="19"/>
        <v>-8.8817841970012523E-16</v>
      </c>
    </row>
    <row r="276" spans="1:15" x14ac:dyDescent="0.25">
      <c r="A276" s="9">
        <v>2.7499999999999898</v>
      </c>
      <c r="B276" s="5">
        <v>1.0001229446144999</v>
      </c>
      <c r="C276" s="5">
        <v>1.5677926952968999</v>
      </c>
      <c r="D276" s="5">
        <v>1.4157861487899499</v>
      </c>
      <c r="E276" s="5">
        <v>1.7997300530976601</v>
      </c>
      <c r="F276" s="5">
        <v>2.2045582184648298</v>
      </c>
      <c r="G276" s="5">
        <v>2.3554352377173902</v>
      </c>
      <c r="H276" s="5">
        <v>2.5371034290976402</v>
      </c>
      <c r="I276" s="5">
        <v>2.7663957313812602</v>
      </c>
      <c r="J276" s="1"/>
      <c r="K276" s="10">
        <f t="shared" si="16"/>
        <v>0.98113359722995297</v>
      </c>
      <c r="L276" s="10">
        <f t="shared" si="17"/>
        <v>1.56742128402577</v>
      </c>
      <c r="M276" s="8">
        <f t="shared" si="18"/>
        <v>0</v>
      </c>
      <c r="N276" s="8">
        <f>B276^2* UnnormalizedLowerIncompleteGamma(2/2 + 1, (A276/B276)^(2)) + C276^2 *UnnormalizedUpperIncompleteGamma(2/3.6 + 1, (A276/C276)^(3.6)) - 1</f>
        <v>-1.6986412276764895E-14</v>
      </c>
      <c r="O276" s="8">
        <f t="shared" si="19"/>
        <v>-1.6986412276764895E-14</v>
      </c>
    </row>
    <row r="277" spans="1:15" x14ac:dyDescent="0.25">
      <c r="A277" s="9">
        <v>2.75999999999999</v>
      </c>
      <c r="B277" s="5">
        <v>1.00011629928844</v>
      </c>
      <c r="C277" s="5">
        <v>1.5703181503944701</v>
      </c>
      <c r="D277" s="5">
        <v>1.41578373465746</v>
      </c>
      <c r="E277" s="5">
        <v>1.7997414050132901</v>
      </c>
      <c r="F277" s="5">
        <v>2.20466012144984</v>
      </c>
      <c r="G277" s="5">
        <v>2.3556526893909502</v>
      </c>
      <c r="H277" s="5">
        <v>2.5376693272520701</v>
      </c>
      <c r="I277" s="5">
        <v>2.7687083738850902</v>
      </c>
      <c r="J277" s="1"/>
      <c r="K277" s="10">
        <f t="shared" si="16"/>
        <v>0.98097390789011329</v>
      </c>
      <c r="L277" s="10">
        <f t="shared" si="17"/>
        <v>1.5699271951897369</v>
      </c>
      <c r="M277" s="8">
        <f t="shared" si="18"/>
        <v>8.5265128291212022E-14</v>
      </c>
      <c r="N277" s="8">
        <f>B277^2* UnnormalizedLowerIncompleteGamma(2/2 + 1, (A277/B277)^(2)) + C277^2 *UnnormalizedUpperIncompleteGamma(2/3.6 + 1, (A277/C277)^(3.6)) - 1</f>
        <v>-8.992806499463768E-15</v>
      </c>
      <c r="O277" s="8">
        <f t="shared" si="19"/>
        <v>-8.992806499463768E-15</v>
      </c>
    </row>
    <row r="278" spans="1:15" x14ac:dyDescent="0.25">
      <c r="A278" s="9">
        <v>2.7699999999999898</v>
      </c>
      <c r="B278" s="5">
        <v>1.0001099919757499</v>
      </c>
      <c r="C278" s="5">
        <v>1.57283879214611</v>
      </c>
      <c r="D278" s="5">
        <v>1.41578142083689</v>
      </c>
      <c r="E278" s="5">
        <v>1.7997521045739899</v>
      </c>
      <c r="F278" s="5">
        <v>2.20475646644848</v>
      </c>
      <c r="G278" s="5">
        <v>2.3558583310054102</v>
      </c>
      <c r="H278" s="5">
        <v>2.5382045675514</v>
      </c>
      <c r="I278" s="5">
        <v>2.77089589005447</v>
      </c>
      <c r="J278" s="1"/>
      <c r="K278" s="10">
        <f t="shared" si="16"/>
        <v>0.98081706411003233</v>
      </c>
      <c r="L278" s="10">
        <f t="shared" si="17"/>
        <v>1.5724289073992961</v>
      </c>
      <c r="M278" s="8">
        <f t="shared" si="18"/>
        <v>-2.4868995751603507E-14</v>
      </c>
      <c r="N278" s="8">
        <f>B278^2* UnnormalizedLowerIncompleteGamma(2/2 + 1, (A278/B278)^(2)) + C278^2 *UnnormalizedUpperIncompleteGamma(2/3.6 + 1, (A278/C278)^(3.6)) - 1</f>
        <v>-1.9984014443252818E-15</v>
      </c>
      <c r="O278" s="8">
        <f t="shared" si="19"/>
        <v>-1.9984014443252818E-15</v>
      </c>
    </row>
    <row r="279" spans="1:15" x14ac:dyDescent="0.25">
      <c r="A279" s="9">
        <v>2.77999999999999</v>
      </c>
      <c r="B279" s="5">
        <v>1.0001040066858899</v>
      </c>
      <c r="C279" s="5">
        <v>1.57535463659252</v>
      </c>
      <c r="D279" s="5">
        <v>1.4157792039544701</v>
      </c>
      <c r="E279" s="5">
        <v>1.79976218721335</v>
      </c>
      <c r="F279" s="5">
        <v>2.2048475392566398</v>
      </c>
      <c r="G279" s="5">
        <v>2.3560527669879199</v>
      </c>
      <c r="H279" s="5">
        <v>2.5387107146489298</v>
      </c>
      <c r="I279" s="5">
        <v>2.7729646565304402</v>
      </c>
      <c r="J279" s="1"/>
      <c r="K279" s="10">
        <f t="shared" si="16"/>
        <v>0.98066301296439717</v>
      </c>
      <c r="L279" s="10">
        <f t="shared" si="17"/>
        <v>1.574926459058662</v>
      </c>
      <c r="M279" s="8">
        <f t="shared" si="18"/>
        <v>1.0658141036401503E-13</v>
      </c>
      <c r="N279" s="8">
        <f>B279^2* UnnormalizedLowerIncompleteGamma(2/2 + 1, (A279/B279)^(2)) + C279^2 *UnnormalizedUpperIncompleteGamma(2/3.6 + 1, (A279/C279)^(3.6)) - 1</f>
        <v>-1.4654943925052066E-14</v>
      </c>
      <c r="O279" s="8">
        <f t="shared" si="19"/>
        <v>-1.4654943925052066E-14</v>
      </c>
    </row>
    <row r="280" spans="1:15" x14ac:dyDescent="0.25">
      <c r="A280" s="9">
        <v>2.7899999999999898</v>
      </c>
      <c r="B280" s="5">
        <v>1.0000983281201901</v>
      </c>
      <c r="C280" s="5">
        <v>1.57786570002279</v>
      </c>
      <c r="D280" s="5">
        <v>1.41577708070146</v>
      </c>
      <c r="E280" s="5">
        <v>1.79977168656216</v>
      </c>
      <c r="F280" s="5">
        <v>2.2049336119560299</v>
      </c>
      <c r="G280" s="5">
        <v>2.3562365729167301</v>
      </c>
      <c r="H280" s="5">
        <v>2.5391892587572999</v>
      </c>
      <c r="I280" s="5">
        <v>2.7749207470849599</v>
      </c>
      <c r="J280" s="1"/>
      <c r="K280" s="10">
        <f t="shared" si="16"/>
        <v>0.98051170256730646</v>
      </c>
      <c r="L280" s="10">
        <f t="shared" si="17"/>
        <v>1.5774198884655504</v>
      </c>
      <c r="M280" s="8">
        <f t="shared" si="18"/>
        <v>0</v>
      </c>
      <c r="N280" s="8">
        <f>B280^2* UnnormalizedLowerIncompleteGamma(2/2 + 1, (A280/B280)^(2)) + C280^2 *UnnormalizedUpperIncompleteGamma(2/3.6 + 1, (A280/C280)^(3.6)) - 1</f>
        <v>-7.1054273576010019E-15</v>
      </c>
      <c r="O280" s="8">
        <f t="shared" si="19"/>
        <v>-6.8833827526759706E-15</v>
      </c>
    </row>
    <row r="281" spans="1:15" x14ac:dyDescent="0.25">
      <c r="A281" s="9">
        <v>2.7999999999999901</v>
      </c>
      <c r="B281" s="5">
        <v>1.0000929416450901</v>
      </c>
      <c r="C281" s="5">
        <v>1.5803719989597</v>
      </c>
      <c r="D281" s="5">
        <v>1.4157750478362401</v>
      </c>
      <c r="E281" s="5">
        <v>1.7997806345332199</v>
      </c>
      <c r="F281" s="5">
        <v>2.2050149435202302</v>
      </c>
      <c r="G281" s="5">
        <v>2.3564102967879101</v>
      </c>
      <c r="H281" s="5">
        <v>2.5396416189047102</v>
      </c>
      <c r="I281" s="5">
        <v>2.7767699458426098</v>
      </c>
      <c r="J281" s="1"/>
      <c r="K281" s="10">
        <f t="shared" si="16"/>
        <v>0.98036308205042733</v>
      </c>
      <c r="L281" s="10">
        <f t="shared" si="17"/>
        <v>1.5799092337990444</v>
      </c>
      <c r="M281" s="8">
        <f t="shared" si="18"/>
        <v>-3.1086244689504383E-14</v>
      </c>
      <c r="N281" s="8">
        <f>B281^2* UnnormalizedLowerIncompleteGamma(2/2 + 1, (A281/B281)^(2)) + C281^2 *UnnormalizedUpperIncompleteGamma(2/3.6 + 1, (A281/C281)^(3.6)) - 1</f>
        <v>-1.3100631690576847E-14</v>
      </c>
      <c r="O281" s="8">
        <f t="shared" si="19"/>
        <v>-1.3100631690576847E-14</v>
      </c>
    </row>
    <row r="282" spans="1:15" x14ac:dyDescent="0.25">
      <c r="A282" s="9">
        <v>2.8099999999999898</v>
      </c>
      <c r="B282" s="5">
        <v>1.0000878332664001</v>
      </c>
      <c r="C282" s="5">
        <v>1.5828735501454401</v>
      </c>
      <c r="D282" s="5">
        <v>1.41577310218612</v>
      </c>
      <c r="E282" s="5">
        <v>1.7997890614027401</v>
      </c>
      <c r="F282" s="5">
        <v>2.2050917803963199</v>
      </c>
      <c r="G282" s="5">
        <v>2.35657446023172</v>
      </c>
      <c r="H282" s="5">
        <v>2.54006914606245</v>
      </c>
      <c r="I282" s="5">
        <v>2.7785177599812299</v>
      </c>
      <c r="J282" s="1"/>
      <c r="K282" s="10">
        <f t="shared" si="16"/>
        <v>0.98021710154165009</v>
      </c>
      <c r="L282" s="10">
        <f t="shared" si="17"/>
        <v>1.5823945331080895</v>
      </c>
      <c r="M282" s="8">
        <f t="shared" si="18"/>
        <v>1.3500311979441904E-13</v>
      </c>
      <c r="N282" s="8">
        <f>B282^2* UnnormalizedLowerIncompleteGamma(2/2 + 1, (A282/B282)^(2)) + C282^2 *UnnormalizedUpperIncompleteGamma(2/3.6 + 1, (A282/C282)^(3.6)) - 1</f>
        <v>-1.4765966227514582E-14</v>
      </c>
      <c r="O282" s="8">
        <f t="shared" si="19"/>
        <v>-1.4765966227514582E-14</v>
      </c>
    </row>
    <row r="283" spans="1:15" x14ac:dyDescent="0.25">
      <c r="A283" s="9">
        <v>2.8199999999999901</v>
      </c>
      <c r="B283" s="5">
        <v>1.00008298960432</v>
      </c>
      <c r="C283" s="5">
        <v>1.58537037052774</v>
      </c>
      <c r="D283" s="5">
        <v>1.4157712406487899</v>
      </c>
      <c r="E283" s="5">
        <v>1.799796995888</v>
      </c>
      <c r="F283" s="5">
        <v>2.2051643570632899</v>
      </c>
      <c r="G283" s="5">
        <v>2.3567295596805899</v>
      </c>
      <c r="H283" s="5">
        <v>2.54047312614825</v>
      </c>
      <c r="I283" s="5">
        <v>2.78016943192962</v>
      </c>
      <c r="J283" s="1"/>
      <c r="K283" s="10">
        <f t="shared" si="16"/>
        <v>0.980073712144228</v>
      </c>
      <c r="L283" s="10">
        <f t="shared" si="17"/>
        <v>1.5848758243005983</v>
      </c>
      <c r="M283" s="8">
        <f t="shared" si="18"/>
        <v>3.2862601528904634E-14</v>
      </c>
      <c r="N283" s="8">
        <f>B283^2* UnnormalizedLowerIncompleteGamma(2/2 + 1, (A283/B283)^(2)) + C283^2 *UnnormalizedUpperIncompleteGamma(2/3.6 + 1, (A283/C283)^(3.6)) - 1</f>
        <v>-2.3314683517128287E-15</v>
      </c>
      <c r="O283" s="8">
        <f t="shared" si="19"/>
        <v>-2.3314683517128287E-15</v>
      </c>
    </row>
    <row r="284" spans="1:15" x14ac:dyDescent="0.25">
      <c r="A284" s="9">
        <v>2.8299999999999899</v>
      </c>
      <c r="B284" s="5">
        <v>1.00007839786931</v>
      </c>
      <c r="C284" s="5">
        <v>1.5878624772465399</v>
      </c>
      <c r="D284" s="5">
        <v>1.41576946019355</v>
      </c>
      <c r="E284" s="5">
        <v>1.7998044652218299</v>
      </c>
      <c r="F284" s="5">
        <v>2.2052328965677699</v>
      </c>
      <c r="G284" s="5">
        <v>2.3568760674901901</v>
      </c>
      <c r="H284" s="5">
        <v>2.5408547829099599</v>
      </c>
      <c r="I284" s="5">
        <v>2.78172995108002</v>
      </c>
      <c r="J284" s="1"/>
      <c r="K284" s="10">
        <f t="shared" si="16"/>
        <v>0.97993286591639084</v>
      </c>
      <c r="L284" s="10">
        <f t="shared" si="17"/>
        <v>1.5873531451331366</v>
      </c>
      <c r="M284" s="8">
        <f t="shared" si="18"/>
        <v>-1.2434497875801753E-13</v>
      </c>
      <c r="N284" s="8">
        <f>B284^2* UnnormalizedLowerIncompleteGamma(2/2 + 1, (A284/B284)^(2)) + C284^2 *UnnormalizedUpperIncompleteGamma(2/3.6 + 1, (A284/C284)^(3.6)) - 1</f>
        <v>-2.3314683517128287E-15</v>
      </c>
      <c r="O284" s="8">
        <f t="shared" si="19"/>
        <v>-2.3314683517128287E-15</v>
      </c>
    </row>
    <row r="285" spans="1:15" x14ac:dyDescent="0.25">
      <c r="A285" s="9">
        <v>2.8399999999999901</v>
      </c>
      <c r="B285" s="5">
        <v>1.00007404583882</v>
      </c>
      <c r="C285" s="5">
        <v>1.59034988762105</v>
      </c>
      <c r="D285" s="5">
        <v>1.4157677578622401</v>
      </c>
      <c r="E285" s="5">
        <v>1.7998114952237301</v>
      </c>
      <c r="F285" s="5">
        <v>2.2052976110381701</v>
      </c>
      <c r="G285" s="5">
        <v>2.3570144330154701</v>
      </c>
      <c r="H285" s="5">
        <v>2.5412152806935402</v>
      </c>
      <c r="I285" s="5">
        <v>2.78320406503232</v>
      </c>
      <c r="J285" s="1"/>
      <c r="K285" s="10">
        <f t="shared" si="16"/>
        <v>0.97979451585141997</v>
      </c>
      <c r="L285" s="10">
        <f t="shared" si="17"/>
        <v>1.5898265332011754</v>
      </c>
      <c r="M285" s="8">
        <f t="shared" si="18"/>
        <v>1.6164847238542279E-13</v>
      </c>
      <c r="N285" s="8">
        <f>B285^2* UnnormalizedLowerIncompleteGamma(2/2 + 1, (A285/B285)^(2)) + C285^2 *UnnormalizedUpperIncompleteGamma(2/3.6 + 1, (A285/C285)^(3.6)) - 1</f>
        <v>-1.6986412276764895E-14</v>
      </c>
      <c r="O285" s="8">
        <f t="shared" si="19"/>
        <v>-1.6986412276764895E-14</v>
      </c>
    </row>
    <row r="286" spans="1:15" x14ac:dyDescent="0.25">
      <c r="A286" s="9">
        <v>2.8499999999999899</v>
      </c>
      <c r="B286" s="5">
        <v>1.0000699218347899</v>
      </c>
      <c r="C286" s="5">
        <v>1.59283261913715</v>
      </c>
      <c r="D286" s="5">
        <v>1.4157661307699401</v>
      </c>
      <c r="E286" s="5">
        <v>1.7998181103679101</v>
      </c>
      <c r="F286" s="5">
        <v>2.2053587021777599</v>
      </c>
      <c r="G286" s="5">
        <v>2.3571450836430601</v>
      </c>
      <c r="H286" s="5">
        <v>2.5415557270997402</v>
      </c>
      <c r="I286" s="5">
        <v>2.7845962903866699</v>
      </c>
      <c r="J286" s="1"/>
      <c r="K286" s="10">
        <f t="shared" si="16"/>
        <v>0.97965861585817393</v>
      </c>
      <c r="L286" s="10">
        <f t="shared" si="17"/>
        <v>1.5922960259298806</v>
      </c>
      <c r="M286" s="8">
        <f t="shared" si="18"/>
        <v>3.1974423109204508E-14</v>
      </c>
      <c r="N286" s="8">
        <f>B286^2* UnnormalizedLowerIncompleteGamma(2/2 + 1, (A286/B286)^(2)) + C286^2 *UnnormalizedUpperIncompleteGamma(2/3.6 + 1, (A286/C286)^(3.6)) - 1</f>
        <v>-7.1054273576010019E-15</v>
      </c>
      <c r="O286" s="8">
        <f t="shared" si="19"/>
        <v>-7.1054273576010019E-15</v>
      </c>
    </row>
    <row r="287" spans="1:15" x14ac:dyDescent="0.25">
      <c r="A287" s="9">
        <v>2.8599999999999901</v>
      </c>
      <c r="B287" s="5">
        <v>1.0000660147018401</v>
      </c>
      <c r="C287" s="5">
        <v>1.5953106894353799</v>
      </c>
      <c r="D287" s="5">
        <v>1.4157645761054201</v>
      </c>
      <c r="E287" s="5">
        <v>1.7998243338483599</v>
      </c>
      <c r="F287" s="5">
        <v>2.2054163617376199</v>
      </c>
      <c r="G287" s="5">
        <v>2.3572684257818599</v>
      </c>
      <c r="H287" s="5">
        <v>2.5418771755331702</v>
      </c>
      <c r="I287" s="5">
        <v>2.7859109231004502</v>
      </c>
      <c r="J287" s="1"/>
      <c r="K287" s="10">
        <f t="shared" si="16"/>
        <v>0.979525120742052</v>
      </c>
      <c r="L287" s="10">
        <f t="shared" si="17"/>
        <v>1.5947616605654247</v>
      </c>
      <c r="M287" s="8">
        <f t="shared" si="18"/>
        <v>1.1013412404281553E-13</v>
      </c>
      <c r="N287" s="8">
        <f>B287^2* UnnormalizedLowerIncompleteGamma(2/2 + 1, (A287/B287)^(2)) + C287^2 *UnnormalizedUpperIncompleteGamma(2/3.6 + 1, (A287/C287)^(3.6)) - 1</f>
        <v>-1.9095836023552692E-14</v>
      </c>
      <c r="O287" s="8">
        <f t="shared" si="19"/>
        <v>-1.9095836023552692E-14</v>
      </c>
    </row>
    <row r="288" spans="1:15" x14ac:dyDescent="0.25">
      <c r="A288" s="9">
        <v>2.8699999999999899</v>
      </c>
      <c r="B288" s="5">
        <v>1.00006231378637</v>
      </c>
      <c r="C288" s="5">
        <v>1.5977841162991899</v>
      </c>
      <c r="D288" s="5">
        <v>1.41576309113146</v>
      </c>
      <c r="E288" s="5">
        <v>1.7998301876409699</v>
      </c>
      <c r="F288" s="5">
        <v>2.2054707719701101</v>
      </c>
      <c r="G288" s="5">
        <v>2.35738484581305</v>
      </c>
      <c r="H288" s="5">
        <v>2.5421806276478298</v>
      </c>
      <c r="I288" s="5">
        <v>2.7871520484252099</v>
      </c>
      <c r="J288" s="1"/>
      <c r="K288" s="10">
        <f t="shared" si="16"/>
        <v>0.97939398618638751</v>
      </c>
      <c r="L288" s="10">
        <f t="shared" si="17"/>
        <v>1.5972234741667972</v>
      </c>
      <c r="M288" s="8">
        <f t="shared" si="18"/>
        <v>-3.907985046680551E-14</v>
      </c>
      <c r="N288" s="8">
        <f>B288^2* UnnormalizedLowerIncompleteGamma(2/2 + 1, (A288/B288)^(2)) + C288^2 *UnnormalizedUpperIncompleteGamma(2/3.6 + 1, (A288/C288)^(3.6)) - 1</f>
        <v>-9.1038288019262836E-15</v>
      </c>
      <c r="O288" s="8">
        <f t="shared" si="19"/>
        <v>-9.1038288019262836E-15</v>
      </c>
    </row>
    <row r="289" spans="1:15" x14ac:dyDescent="0.25">
      <c r="A289" s="9">
        <v>2.8799999999999901</v>
      </c>
      <c r="B289" s="5">
        <v>1.0000588089162099</v>
      </c>
      <c r="C289" s="5">
        <v>1.6002529176436799</v>
      </c>
      <c r="D289" s="5">
        <v>1.4157616731848599</v>
      </c>
      <c r="E289" s="5">
        <v>1.7998356925630099</v>
      </c>
      <c r="F289" s="5">
        <v>2.2055221060635901</v>
      </c>
      <c r="G289" s="5">
        <v>2.35749471100113</v>
      </c>
      <c r="H289" s="5">
        <v>2.5424670356926602</v>
      </c>
      <c r="I289" s="5">
        <v>2.7883235504385602</v>
      </c>
      <c r="J289" s="1"/>
      <c r="K289" s="10">
        <f t="shared" si="16"/>
        <v>0.97926516873425717</v>
      </c>
      <c r="L289" s="10">
        <f t="shared" si="17"/>
        <v>1.5996815035980967</v>
      </c>
      <c r="M289" s="8">
        <f t="shared" si="18"/>
        <v>5.5067062021407764E-14</v>
      </c>
      <c r="N289" s="8">
        <f>B289^2* UnnormalizedLowerIncompleteGamma(2/2 + 1, (A289/B289)^(2)) + C289^2 *UnnormalizedUpperIncompleteGamma(2/3.6 + 1, (A289/C289)^(3.6)) - 1</f>
        <v>-2.1094237467877974E-15</v>
      </c>
      <c r="O289" s="8">
        <f t="shared" si="19"/>
        <v>-2.1094237467877974E-15</v>
      </c>
    </row>
    <row r="290" spans="1:15" x14ac:dyDescent="0.25">
      <c r="A290" s="9">
        <v>2.8899999999999899</v>
      </c>
      <c r="B290" s="5">
        <v>1.0000554903811101</v>
      </c>
      <c r="C290" s="5">
        <v>1.6027171115046399</v>
      </c>
      <c r="D290" s="5">
        <v>1.4157603196763899</v>
      </c>
      <c r="E290" s="5">
        <v>1.7998408683298499</v>
      </c>
      <c r="F290" s="5">
        <v>2.2055705285590901</v>
      </c>
      <c r="G290" s="5">
        <v>2.3575983703675001</v>
      </c>
      <c r="H290" s="5">
        <v>2.5427373047608501</v>
      </c>
      <c r="I290" s="5">
        <v>2.7894291211856599</v>
      </c>
      <c r="J290" s="1"/>
      <c r="K290" s="10">
        <f t="shared" si="16"/>
        <v>0.97913862577069866</v>
      </c>
      <c r="L290" s="10">
        <f t="shared" si="17"/>
        <v>1.6021357855212826</v>
      </c>
      <c r="M290" s="8">
        <f t="shared" si="18"/>
        <v>-1.0658141036401503E-13</v>
      </c>
      <c r="N290" s="8">
        <f>B290^2* UnnormalizedLowerIncompleteGamma(2/2 + 1, (A290/B290)^(2)) + C290^2 *UnnormalizedUpperIncompleteGamma(2/3.6 + 1, (A290/C290)^(3.6)) - 1</f>
        <v>-1.7763568394002505E-15</v>
      </c>
      <c r="O290" s="8">
        <f t="shared" si="19"/>
        <v>-1.7763568394002505E-15</v>
      </c>
    </row>
    <row r="291" spans="1:15" x14ac:dyDescent="0.25">
      <c r="A291" s="9">
        <v>2.8999999999999901</v>
      </c>
      <c r="B291" s="5">
        <v>1.00005234891386</v>
      </c>
      <c r="C291" s="5">
        <v>1.6051767160281301</v>
      </c>
      <c r="D291" s="5">
        <v>1.4157590280905199</v>
      </c>
      <c r="E291" s="5">
        <v>1.79984573360918</v>
      </c>
      <c r="F291" s="5">
        <v>2.2056161957496099</v>
      </c>
      <c r="G291" s="5">
        <v>2.3576961555276701</v>
      </c>
      <c r="H291" s="5">
        <v>2.54299229494629</v>
      </c>
      <c r="I291" s="5">
        <v>2.79047226944438</v>
      </c>
      <c r="J291" s="1"/>
      <c r="K291" s="10">
        <f t="shared" si="16"/>
        <v>0.97901431550532581</v>
      </c>
      <c r="L291" s="10">
        <f t="shared" si="17"/>
        <v>1.6045863563893719</v>
      </c>
      <c r="M291" s="8">
        <f t="shared" si="18"/>
        <v>0</v>
      </c>
      <c r="N291" s="8">
        <f>B291^2* UnnormalizedLowerIncompleteGamma(2/2 + 1, (A291/B291)^(2)) + C291^2 *UnnormalizedUpperIncompleteGamma(2/3.6 + 1, (A291/C291)^(3.6)) - 1</f>
        <v>-6.4392935428259079E-15</v>
      </c>
      <c r="O291" s="8">
        <f t="shared" si="19"/>
        <v>-6.4392935428259079E-15</v>
      </c>
    </row>
    <row r="292" spans="1:15" x14ac:dyDescent="0.25">
      <c r="A292" s="9">
        <v>2.9099999999999899</v>
      </c>
      <c r="B292" s="5">
        <v>1.0000493756720901</v>
      </c>
      <c r="C292" s="5">
        <v>1.6076317494602399</v>
      </c>
      <c r="D292" s="5">
        <v>1.4157577959849801</v>
      </c>
      <c r="E292" s="5">
        <v>1.79985030607276</v>
      </c>
      <c r="F292" s="5">
        <v>2.2056592560625798</v>
      </c>
      <c r="G292" s="5">
        <v>2.3577883814937102</v>
      </c>
      <c r="H292" s="5">
        <v>2.5432328234106598</v>
      </c>
      <c r="I292" s="5">
        <v>2.7914563291279402</v>
      </c>
      <c r="J292" s="1"/>
      <c r="K292" s="10">
        <f t="shared" si="16"/>
        <v>0.9788921969553307</v>
      </c>
      <c r="L292" s="10">
        <f t="shared" si="17"/>
        <v>1.6070332524400612</v>
      </c>
      <c r="M292" s="8">
        <f t="shared" si="18"/>
        <v>2.1316282072803006E-14</v>
      </c>
      <c r="N292" s="8">
        <f>B292^2* UnnormalizedLowerIncompleteGamma(2/2 + 1, (A292/B292)^(2)) + C292^2 *UnnormalizedUpperIncompleteGamma(2/3.6 + 1, (A292/C292)^(3.6)) - 1</f>
        <v>-1.1102230246251565E-15</v>
      </c>
      <c r="O292" s="8">
        <f t="shared" si="19"/>
        <v>-1.1102230246251565E-15</v>
      </c>
    </row>
    <row r="293" spans="1:15" x14ac:dyDescent="0.25">
      <c r="A293" s="9">
        <v>2.9199999999999902</v>
      </c>
      <c r="B293" s="5">
        <v>1.00004656222069</v>
      </c>
      <c r="C293" s="5">
        <v>1.6100822301373601</v>
      </c>
      <c r="D293" s="5">
        <v>1.4157566209902399</v>
      </c>
      <c r="E293" s="5">
        <v>1.7998546024459099</v>
      </c>
      <c r="F293" s="5">
        <v>2.2056998504263099</v>
      </c>
      <c r="G293" s="5">
        <v>2.35787534744314</v>
      </c>
      <c r="H293" s="5">
        <v>2.5434596663642899</v>
      </c>
      <c r="I293" s="5">
        <v>2.7923844673381599</v>
      </c>
      <c r="J293" s="1"/>
      <c r="K293" s="10">
        <f t="shared" si="16"/>
        <v>0.97877222992886448</v>
      </c>
      <c r="L293" s="10">
        <f t="shared" si="17"/>
        <v>1.6094765096897574</v>
      </c>
      <c r="M293" s="8">
        <f t="shared" si="18"/>
        <v>2.3092638912203256E-14</v>
      </c>
      <c r="N293" s="8">
        <f>B293^2* UnnormalizedLowerIncompleteGamma(2/2 + 1, (A293/B293)^(2)) + C293^2 *UnnormalizedUpperIncompleteGamma(2/3.6 + 1, (A293/C293)^(3.6)) - 1</f>
        <v>-1.1435297153639112E-14</v>
      </c>
      <c r="O293" s="8">
        <f t="shared" si="19"/>
        <v>-1.1435297153639112E-14</v>
      </c>
    </row>
    <row r="294" spans="1:15" x14ac:dyDescent="0.25">
      <c r="A294" s="9">
        <v>2.9299999999999899</v>
      </c>
      <c r="B294" s="5">
        <v>1.00004390051493</v>
      </c>
      <c r="C294" s="5">
        <v>1.61252817647678</v>
      </c>
      <c r="D294" s="5">
        <v>1.41575550080886</v>
      </c>
      <c r="E294" s="5">
        <v>1.79985863855465</v>
      </c>
      <c r="F294" s="5">
        <v>2.2057381126208599</v>
      </c>
      <c r="G294" s="5">
        <v>2.35795733745534</v>
      </c>
      <c r="H294" s="5">
        <v>2.5436735609642098</v>
      </c>
      <c r="I294" s="5">
        <v>2.7932596920822301</v>
      </c>
      <c r="J294" s="1"/>
      <c r="K294" s="10">
        <f t="shared" si="16"/>
        <v>0.97865437500878749</v>
      </c>
      <c r="L294" s="10">
        <f t="shared" si="17"/>
        <v>1.611916163928</v>
      </c>
      <c r="M294" s="8">
        <f t="shared" si="18"/>
        <v>1.2256862191861728E-13</v>
      </c>
      <c r="N294" s="8">
        <f>B294^2* UnnormalizedLowerIncompleteGamma(2/2 + 1, (A294/B294)^(2)) + C294^2 *UnnormalizedUpperIncompleteGamma(2/3.6 + 1, (A294/C294)^(3.6)) - 1</f>
        <v>-1.2878587085651816E-14</v>
      </c>
      <c r="O294" s="8">
        <f t="shared" si="19"/>
        <v>-1.2878587085651816E-14</v>
      </c>
    </row>
    <row r="295" spans="1:15" x14ac:dyDescent="0.25">
      <c r="A295" s="9">
        <v>2.9399999999999902</v>
      </c>
      <c r="B295" s="5">
        <v>1.0000413828841099</v>
      </c>
      <c r="C295" s="5">
        <v>1.6149696069675701</v>
      </c>
      <c r="D295" s="5">
        <v>1.4157544332146501</v>
      </c>
      <c r="E295" s="5">
        <v>1.79986242937069</v>
      </c>
      <c r="F295" s="5">
        <v>2.2057741696139401</v>
      </c>
      <c r="G295" s="5">
        <v>2.3580346212169898</v>
      </c>
      <c r="H295" s="5">
        <v>2.5438752071321802</v>
      </c>
      <c r="I295" s="5">
        <v>2.79408485966542</v>
      </c>
      <c r="J295" s="1"/>
      <c r="K295" s="10">
        <f t="shared" si="16"/>
        <v>0.9785385935367783</v>
      </c>
      <c r="L295" s="10">
        <f t="shared" si="17"/>
        <v>1.6143522507122607</v>
      </c>
      <c r="M295" s="8">
        <f t="shared" si="18"/>
        <v>8.5265128291212022E-14</v>
      </c>
      <c r="N295" s="8">
        <f>B295^2* UnnormalizedLowerIncompleteGamma(2/2 + 1, (A295/B295)^(2)) + C295^2 *UnnormalizedUpperIncompleteGamma(2/3.6 + 1, (A295/C295)^(3.6)) - 1</f>
        <v>-8.992806499463768E-15</v>
      </c>
      <c r="O295" s="8">
        <f t="shared" si="19"/>
        <v>-8.992806499463768E-15</v>
      </c>
    </row>
    <row r="296" spans="1:15" x14ac:dyDescent="0.25">
      <c r="A296" s="9">
        <v>2.94999999999999</v>
      </c>
      <c r="B296" s="5">
        <v>1.0000390020158501</v>
      </c>
      <c r="C296" s="5">
        <v>1.61740654016189</v>
      </c>
      <c r="D296" s="5">
        <v>1.4157534160518801</v>
      </c>
      <c r="E296" s="5">
        <v>1.7998659890544799</v>
      </c>
      <c r="F296" s="5">
        <v>2.2058081418825002</v>
      </c>
      <c r="G296" s="5">
        <v>2.3581074546974299</v>
      </c>
      <c r="H296" s="5">
        <v>2.5440652692958401</v>
      </c>
      <c r="I296" s="5">
        <v>2.7948626817718201</v>
      </c>
      <c r="J296" s="1"/>
      <c r="K296" s="10">
        <f t="shared" si="16"/>
        <v>0.9784248475977958</v>
      </c>
      <c r="L296" s="10">
        <f t="shared" si="17"/>
        <v>1.616784805363104</v>
      </c>
      <c r="M296" s="8">
        <f t="shared" si="18"/>
        <v>-3.0198066269804258E-14</v>
      </c>
      <c r="N296" s="8">
        <f>B296^2* UnnormalizedLowerIncompleteGamma(2/2 + 1, (A296/B296)^(2)) + C296^2 *UnnormalizedUpperIncompleteGamma(2/3.6 + 1, (A296/C296)^(3.6)) - 1</f>
        <v>-1.099120794378905E-14</v>
      </c>
      <c r="O296" s="8">
        <f t="shared" si="19"/>
        <v>-1.099120794378905E-14</v>
      </c>
    </row>
    <row r="297" spans="1:15" x14ac:dyDescent="0.25">
      <c r="A297" s="9">
        <v>2.9599999999999902</v>
      </c>
      <c r="B297" s="5">
        <v>1.00003675094096</v>
      </c>
      <c r="C297" s="5">
        <v>1.6198389946666101</v>
      </c>
      <c r="D297" s="5">
        <v>1.41575244723423</v>
      </c>
      <c r="E297" s="5">
        <v>1.7998693309961</v>
      </c>
      <c r="F297" s="5">
        <v>2.2058401437204802</v>
      </c>
      <c r="G297" s="5">
        <v>2.3581760807952499</v>
      </c>
      <c r="H297" s="5">
        <v>2.5442443780559199</v>
      </c>
      <c r="I297" s="5">
        <v>2.7955957322446698</v>
      </c>
      <c r="J297" s="1"/>
      <c r="K297" s="10">
        <f t="shared" si="16"/>
        <v>0.97831310000488292</v>
      </c>
      <c r="L297" s="10">
        <f t="shared" si="17"/>
        <v>1.6192138629596935</v>
      </c>
      <c r="M297" s="8">
        <f t="shared" si="18"/>
        <v>1.0835776720341528E-13</v>
      </c>
      <c r="N297" s="8">
        <f>B297^2* UnnormalizedLowerIncompleteGamma(2/2 + 1, (A297/B297)^(2)) + C297^2 *UnnormalizedUpperIncompleteGamma(2/3.6 + 1, (A297/C297)^(3.6)) - 1</f>
        <v>-1.4321877017664519E-14</v>
      </c>
      <c r="O297" s="8">
        <f t="shared" si="19"/>
        <v>-1.4321877017664519E-14</v>
      </c>
    </row>
    <row r="298" spans="1:15" x14ac:dyDescent="0.25">
      <c r="A298" s="9">
        <v>2.96999999999999</v>
      </c>
      <c r="B298" s="5">
        <v>1.0000346230188499</v>
      </c>
      <c r="C298" s="5">
        <v>1.62226698913518</v>
      </c>
      <c r="D298" s="5">
        <v>1.41575152474378</v>
      </c>
      <c r="E298" s="5">
        <v>1.7998724678543401</v>
      </c>
      <c r="F298" s="5">
        <v>2.20587028353318</v>
      </c>
      <c r="G298" s="5">
        <v>2.3582407299570698</v>
      </c>
      <c r="H298" s="5">
        <v>2.5444131317821101</v>
      </c>
      <c r="I298" s="5">
        <v>2.7962864535776801</v>
      </c>
      <c r="J298" s="1"/>
      <c r="K298" s="10">
        <f t="shared" si="16"/>
        <v>0.9782033142843054</v>
      </c>
      <c r="L298" s="10">
        <f t="shared" si="17"/>
        <v>1.6216394583356302</v>
      </c>
      <c r="M298" s="8">
        <f t="shared" si="18"/>
        <v>7.638334409421077E-14</v>
      </c>
      <c r="N298" s="8">
        <f>B298^2* UnnormalizedLowerIncompleteGamma(2/2 + 1, (A298/B298)^(2)) + C298^2 *UnnormalizedUpperIncompleteGamma(2/3.6 + 1, (A298/C298)^(3.6)) - 1</f>
        <v>-1.2878587085651816E-14</v>
      </c>
      <c r="O298" s="8">
        <f t="shared" si="19"/>
        <v>-1.2878587085651816E-14</v>
      </c>
    </row>
    <row r="299" spans="1:15" x14ac:dyDescent="0.25">
      <c r="A299" s="9">
        <v>2.9799999999999902</v>
      </c>
      <c r="B299" s="5">
        <v>1.0000326119234799</v>
      </c>
      <c r="C299" s="5">
        <v>1.62469054225994</v>
      </c>
      <c r="D299" s="5">
        <v>1.4157506466298799</v>
      </c>
      <c r="E299" s="5">
        <v>1.7998754115940301</v>
      </c>
      <c r="F299" s="5">
        <v>2.2058986641189802</v>
      </c>
      <c r="G299" s="5">
        <v>2.3583016207697098</v>
      </c>
      <c r="H299" s="5">
        <v>2.5445720981404301</v>
      </c>
      <c r="I299" s="5">
        <v>2.7969371631281499</v>
      </c>
      <c r="J299" s="1"/>
      <c r="K299" s="10">
        <f t="shared" si="16"/>
        <v>0.97809545466101733</v>
      </c>
      <c r="L299" s="10">
        <f t="shared" si="17"/>
        <v>1.6240616260751097</v>
      </c>
      <c r="M299" s="8">
        <f t="shared" si="18"/>
        <v>6.3948846218409017E-14</v>
      </c>
      <c r="N299" s="8">
        <f>B299^2* UnnormalizedLowerIncompleteGamma(2/2 + 1, (A299/B299)^(2)) + C299^2 *UnnormalizedUpperIncompleteGamma(2/3.6 + 1, (A299/C299)^(3.6)) - 1</f>
        <v>-1.4543921622589551E-14</v>
      </c>
      <c r="O299" s="8">
        <f t="shared" si="19"/>
        <v>-1.4543921622589551E-14</v>
      </c>
    </row>
    <row r="300" spans="1:15" x14ac:dyDescent="0.25">
      <c r="A300" s="9">
        <v>2.98999999999999</v>
      </c>
      <c r="B300" s="5">
        <v>1.0000307116298599</v>
      </c>
      <c r="C300" s="5">
        <v>1.6271096727646499</v>
      </c>
      <c r="D300" s="5">
        <v>1.41574981100798</v>
      </c>
      <c r="E300" s="5">
        <v>1.79987817352143</v>
      </c>
      <c r="F300" s="5">
        <v>2.20592538293866</v>
      </c>
      <c r="G300" s="5">
        <v>2.35835896052662</v>
      </c>
      <c r="H300" s="5">
        <v>2.5447218155547202</v>
      </c>
      <c r="I300" s="5">
        <v>2.7975500590625502</v>
      </c>
      <c r="J300" s="1"/>
      <c r="K300" s="10">
        <f t="shared" si="16"/>
        <v>0.97798948604444513</v>
      </c>
      <c r="L300" s="10">
        <f t="shared" si="17"/>
        <v>1.6264804005093827</v>
      </c>
      <c r="M300" s="8">
        <f t="shared" si="18"/>
        <v>6.2172489379008766E-14</v>
      </c>
      <c r="N300" s="8">
        <f>B300^2* UnnormalizedLowerIncompleteGamma(2/2 + 1, (A300/B300)^(2)) + C300^2 *UnnormalizedUpperIncompleteGamma(2/3.6 + 1, (A300/C300)^(3.6)) - 1</f>
        <v>-9.2148511043887993E-15</v>
      </c>
      <c r="O300" s="8">
        <f t="shared" si="19"/>
        <v>-9.2148511043887993E-15</v>
      </c>
    </row>
    <row r="301" spans="1:15" x14ac:dyDescent="0.25">
      <c r="A301" s="9">
        <v>2.9999999999999898</v>
      </c>
      <c r="B301" s="5">
        <v>1.0000289164010201</v>
      </c>
      <c r="C301" s="5">
        <v>1.6295243993973401</v>
      </c>
      <c r="D301" s="5">
        <v>1.4157490160583599</v>
      </c>
      <c r="E301" s="5">
        <v>1.79988076431817</v>
      </c>
      <c r="F301" s="5">
        <v>2.2059505323729498</v>
      </c>
      <c r="G301" s="5">
        <v>2.3584129457696799</v>
      </c>
      <c r="H301" s="5">
        <v>2.5448627946046498</v>
      </c>
      <c r="I301" s="5">
        <v>2.7981272260447398</v>
      </c>
      <c r="J301" s="1"/>
      <c r="K301" s="10">
        <f t="shared" si="16"/>
        <v>0.9778853740145832</v>
      </c>
      <c r="L301" s="10">
        <f t="shared" si="17"/>
        <v>1.6288958157135094</v>
      </c>
      <c r="M301" s="8">
        <f t="shared" si="18"/>
        <v>1.7053025658242404E-13</v>
      </c>
      <c r="N301" s="8">
        <f>B301^2* UnnormalizedLowerIncompleteGamma(2/2 + 1, (A301/B301)^(2)) + C301^2 *UnnormalizedUpperIncompleteGamma(2/3.6 + 1, (A301/C301)^(3.6)) - 1</f>
        <v>-1.6542323066914832E-14</v>
      </c>
      <c r="O301" s="8">
        <f t="shared" si="19"/>
        <v>-1.6542323066914832E-14</v>
      </c>
    </row>
    <row r="302" spans="1:15" x14ac:dyDescent="0.25">
      <c r="A302" s="9">
        <v>3.00999999999999</v>
      </c>
      <c r="B302" s="5">
        <v>1.0000272207755401</v>
      </c>
      <c r="C302" s="5">
        <v>1.6319347409234699</v>
      </c>
      <c r="D302" s="5">
        <v>1.4157482600248701</v>
      </c>
      <c r="E302" s="5">
        <v>1.7998831940734199</v>
      </c>
      <c r="F302" s="5">
        <v>2.2059741999686899</v>
      </c>
      <c r="G302" s="5">
        <v>2.3584637628072702</v>
      </c>
      <c r="H302" s="5">
        <v>2.5449955193628702</v>
      </c>
      <c r="I302" s="5">
        <v>2.7986706406767099</v>
      </c>
      <c r="J302" s="1"/>
      <c r="K302" s="10">
        <f t="shared" si="16"/>
        <v>0.97778308480839282</v>
      </c>
      <c r="L302" s="10">
        <f t="shared" si="17"/>
        <v>1.6313079055033917</v>
      </c>
      <c r="M302" s="8">
        <f t="shared" si="18"/>
        <v>3.907985046680551E-14</v>
      </c>
      <c r="N302" s="8">
        <f>B302^2* UnnormalizedLowerIncompleteGamma(2/2 + 1, (A302/B302)^(2)) + C302^2 *UnnormalizedUpperIncompleteGamma(2/3.6 + 1, (A302/C302)^(3.6)) - 1</f>
        <v>-2.1094237467877974E-15</v>
      </c>
      <c r="O302" s="8">
        <f t="shared" si="19"/>
        <v>-2.1094237467877974E-15</v>
      </c>
    </row>
    <row r="303" spans="1:15" x14ac:dyDescent="0.25">
      <c r="A303" s="9">
        <v>3.0199999999999898</v>
      </c>
      <c r="B303" s="5">
        <v>1.00002561955545</v>
      </c>
      <c r="C303" s="5">
        <v>1.6343407161193599</v>
      </c>
      <c r="D303" s="5">
        <v>1.4157475412136</v>
      </c>
      <c r="E303" s="5">
        <v>1.79988547231465</v>
      </c>
      <c r="F303" s="5">
        <v>2.20599646867415</v>
      </c>
      <c r="G303" s="5">
        <v>2.35851158820955</v>
      </c>
      <c r="H303" s="5">
        <v>2.54512044867344</v>
      </c>
      <c r="I303" s="5">
        <v>2.7991821767014402</v>
      </c>
      <c r="J303" s="1"/>
      <c r="K303" s="10">
        <f t="shared" si="16"/>
        <v>0.97768258530649788</v>
      </c>
      <c r="L303" s="10">
        <f t="shared" si="17"/>
        <v>1.6337167034330735</v>
      </c>
      <c r="M303" s="8">
        <f t="shared" si="18"/>
        <v>-3.3750779948604759E-14</v>
      </c>
      <c r="N303" s="8">
        <f>B303^2* UnnormalizedLowerIncompleteGamma(2/2 + 1, (A303/B303)^(2)) + C303^2 *UnnormalizedUpperIncompleteGamma(2/3.6 + 1, (A303/C303)^(3.6)) - 1</f>
        <v>-3.8857805861880479E-15</v>
      </c>
      <c r="O303" s="8">
        <f t="shared" si="19"/>
        <v>-3.8857805861880479E-15</v>
      </c>
    </row>
    <row r="304" spans="1:15" x14ac:dyDescent="0.25">
      <c r="A304" s="9">
        <v>3.02999999999999</v>
      </c>
      <c r="B304" s="5">
        <v>1.0000241077947201</v>
      </c>
      <c r="C304" s="5">
        <v>1.6367423437659201</v>
      </c>
      <c r="D304" s="5">
        <v>1.41574685799148</v>
      </c>
      <c r="E304" s="5">
        <v>1.79988760803679</v>
      </c>
      <c r="F304" s="5">
        <v>2.2060174170638098</v>
      </c>
      <c r="G304" s="5">
        <v>2.3585565892817999</v>
      </c>
      <c r="H304" s="5">
        <v>2.5452380173740998</v>
      </c>
      <c r="I304" s="5">
        <v>2.79966360997709</v>
      </c>
      <c r="J304" s="1"/>
      <c r="K304" s="10">
        <f t="shared" si="16"/>
        <v>0.9775838430201701</v>
      </c>
      <c r="L304" s="10">
        <f t="shared" si="17"/>
        <v>1.6361222427922983</v>
      </c>
      <c r="M304" s="8">
        <f t="shared" si="18"/>
        <v>1.2967404927621828E-13</v>
      </c>
      <c r="N304" s="8">
        <f>B304^2* UnnormalizedLowerIncompleteGamma(2/2 + 1, (A304/B304)^(2)) + C304^2 *UnnormalizedUpperIncompleteGamma(2/3.6 + 1, (A304/C304)^(3.6)) - 1</f>
        <v>-9.9920072216264089E-15</v>
      </c>
      <c r="O304" s="8">
        <f t="shared" si="19"/>
        <v>-9.9920072216264089E-15</v>
      </c>
    </row>
    <row r="305" spans="1:15" x14ac:dyDescent="0.25">
      <c r="A305" s="9">
        <v>3.0399999999999898</v>
      </c>
      <c r="B305" s="5">
        <v>1.0000226807881101</v>
      </c>
      <c r="C305" s="5">
        <v>1.6391396426425799</v>
      </c>
      <c r="D305" s="5">
        <v>1.4157462087849499</v>
      </c>
      <c r="E305" s="5">
        <v>1.79988960973017</v>
      </c>
      <c r="F305" s="5">
        <v>2.2060371195531001</v>
      </c>
      <c r="G305" s="5">
        <v>2.35859892451675</v>
      </c>
      <c r="H305" s="5">
        <v>2.5453486374643202</v>
      </c>
      <c r="I305" s="5">
        <v>2.80011662323147</v>
      </c>
      <c r="J305" s="1"/>
      <c r="K305" s="10">
        <f t="shared" si="16"/>
        <v>0.97748682607859694</v>
      </c>
      <c r="L305" s="10">
        <f t="shared" si="17"/>
        <v>1.6385245566043094</v>
      </c>
      <c r="M305" s="8">
        <f t="shared" si="18"/>
        <v>1.2079226507921703E-13</v>
      </c>
      <c r="N305" s="8">
        <f>B305^2* UnnormalizedLowerIncompleteGamma(2/2 + 1, (A305/B305)^(2)) + C305^2 *UnnormalizedUpperIncompleteGamma(2/3.6 + 1, (A305/C305)^(3.6)) - 1</f>
        <v>-1.3988810110276972E-14</v>
      </c>
      <c r="O305" s="8">
        <f t="shared" si="19"/>
        <v>-1.4321877017664519E-14</v>
      </c>
    </row>
    <row r="306" spans="1:15" x14ac:dyDescent="0.25">
      <c r="A306" s="9">
        <v>3.0499999999999901</v>
      </c>
      <c r="B306" s="5">
        <v>1.00002133406048</v>
      </c>
      <c r="C306" s="5">
        <v>1.6415326315215899</v>
      </c>
      <c r="D306" s="5">
        <v>1.4157455920785</v>
      </c>
      <c r="E306" s="5">
        <v>1.7998914854068999</v>
      </c>
      <c r="F306" s="5">
        <v>2.2060556466034802</v>
      </c>
      <c r="G306" s="5">
        <v>2.3586387440267398</v>
      </c>
      <c r="H306" s="5">
        <v>2.5454526992214501</v>
      </c>
      <c r="I306" s="5">
        <v>2.8005428106054699</v>
      </c>
      <c r="J306" s="1"/>
      <c r="K306" s="10">
        <f t="shared" si="16"/>
        <v>0.97739150321642498</v>
      </c>
      <c r="L306" s="10">
        <f t="shared" si="17"/>
        <v>1.6409236776238862</v>
      </c>
      <c r="M306" s="8">
        <f t="shared" si="18"/>
        <v>6.9277916736609768E-14</v>
      </c>
      <c r="N306" s="8">
        <f>B306^2* UnnormalizedLowerIncompleteGamma(2/2 + 1, (A306/B306)^(2)) + C306^2 *UnnormalizedUpperIncompleteGamma(2/3.6 + 1, (A306/C306)^(3.6)) - 1</f>
        <v>-1.2101430968414206E-14</v>
      </c>
      <c r="O306" s="8">
        <f t="shared" si="19"/>
        <v>-1.2101430968414206E-14</v>
      </c>
    </row>
    <row r="307" spans="1:15" x14ac:dyDescent="0.25">
      <c r="A307" s="9">
        <v>3.0599999999999898</v>
      </c>
      <c r="B307" s="5">
        <v>1.0000200633565199</v>
      </c>
      <c r="C307" s="5">
        <v>1.6439213291624799</v>
      </c>
      <c r="D307" s="5">
        <v>1.4157450064132699</v>
      </c>
      <c r="E307" s="5">
        <v>1.79989324262618</v>
      </c>
      <c r="F307" s="5">
        <v>2.2060730649182898</v>
      </c>
      <c r="G307" s="5">
        <v>2.3586761899563902</v>
      </c>
      <c r="H307" s="5">
        <v>2.5455505722669201</v>
      </c>
      <c r="I307" s="5">
        <v>2.8009436819937399</v>
      </c>
      <c r="J307" s="1"/>
      <c r="K307" s="10">
        <f t="shared" si="16"/>
        <v>0.9772978437615738</v>
      </c>
      <c r="L307" s="10">
        <f t="shared" si="17"/>
        <v>1.6433196383356037</v>
      </c>
      <c r="M307" s="8">
        <f t="shared" si="18"/>
        <v>-7.2830630415410269E-14</v>
      </c>
      <c r="N307" s="8">
        <f>B307^2* UnnormalizedLowerIncompleteGamma(2/2 + 1, (A307/B307)^(2)) + C307^2 *UnnormalizedUpperIncompleteGamma(2/3.6 + 1, (A307/C307)^(3.6)) - 1</f>
        <v>-4.2188474935755949E-15</v>
      </c>
      <c r="O307" s="8">
        <f t="shared" si="19"/>
        <v>-4.2188474935755949E-15</v>
      </c>
    </row>
    <row r="308" spans="1:15" x14ac:dyDescent="0.25">
      <c r="A308" s="9">
        <v>3.0699999999999901</v>
      </c>
      <c r="B308" s="5">
        <v>1.0000188646308801</v>
      </c>
      <c r="C308" s="5">
        <v>1.64630575430682</v>
      </c>
      <c r="D308" s="5">
        <v>1.4157444503855501</v>
      </c>
      <c r="E308" s="5">
        <v>1.79989488851822</v>
      </c>
      <c r="F308" s="5">
        <v>2.2060894376296298</v>
      </c>
      <c r="G308" s="5">
        <v>2.3587113968767599</v>
      </c>
      <c r="H308" s="5">
        <v>2.5456426065845599</v>
      </c>
      <c r="I308" s="5">
        <v>2.8013206671907098</v>
      </c>
      <c r="J308" s="1"/>
      <c r="K308" s="10">
        <f t="shared" si="16"/>
        <v>0.97720581762331227</v>
      </c>
      <c r="L308" s="10">
        <f t="shared" si="17"/>
        <v>1.6457124709523061</v>
      </c>
      <c r="M308" s="8">
        <f t="shared" si="18"/>
        <v>-4.4408920985006262E-14</v>
      </c>
      <c r="N308" s="8">
        <f>B308^2* UnnormalizedLowerIncompleteGamma(2/2 + 1, (A308/B308)^(2)) + C308^2 *UnnormalizedUpperIncompleteGamma(2/3.6 + 1, (A308/C308)^(3.6)) - 1</f>
        <v>-4.7739590058881731E-15</v>
      </c>
      <c r="O308" s="8">
        <f t="shared" si="19"/>
        <v>-4.7739590058881731E-15</v>
      </c>
    </row>
    <row r="309" spans="1:15" x14ac:dyDescent="0.25">
      <c r="A309" s="9">
        <v>3.0799999999999899</v>
      </c>
      <c r="B309" s="5">
        <v>1.00001773403872</v>
      </c>
      <c r="C309" s="5">
        <v>1.6486859256731901</v>
      </c>
      <c r="D309" s="5">
        <v>1.41574392264542</v>
      </c>
      <c r="E309" s="5">
        <v>1.7998964298070601</v>
      </c>
      <c r="F309" s="5">
        <v>2.20610482447678</v>
      </c>
      <c r="G309" s="5">
        <v>2.3587444921615002</v>
      </c>
      <c r="H309" s="5">
        <v>2.5457291334929102</v>
      </c>
      <c r="I309" s="5">
        <v>2.80167511984979</v>
      </c>
      <c r="J309" s="1"/>
      <c r="K309" s="10">
        <f t="shared" si="16"/>
        <v>0.97711539528059155</v>
      </c>
      <c r="L309" s="10">
        <f t="shared" si="17"/>
        <v>1.6481022074137839</v>
      </c>
      <c r="M309" s="8">
        <f t="shared" si="18"/>
        <v>4.0856207306205761E-14</v>
      </c>
      <c r="N309" s="8">
        <f>B309^2* UnnormalizedLowerIncompleteGamma(2/2 + 1, (A309/B309)^(2)) + C309^2 *UnnormalizedUpperIncompleteGamma(2/3.6 + 1, (A309/C309)^(3.6)) - 1</f>
        <v>0</v>
      </c>
      <c r="O309" s="8">
        <f t="shared" si="19"/>
        <v>-6.6613381477509392E-16</v>
      </c>
    </row>
    <row r="310" spans="1:15" x14ac:dyDescent="0.25">
      <c r="A310" s="9">
        <v>3.0899999999999901</v>
      </c>
      <c r="B310" s="5">
        <v>1.0000166679265901</v>
      </c>
      <c r="C310" s="5">
        <v>1.65106186195238</v>
      </c>
      <c r="D310" s="5">
        <v>1.4157434218952001</v>
      </c>
      <c r="E310" s="5">
        <v>1.7998978728322801</v>
      </c>
      <c r="F310" s="5">
        <v>2.20611928197639</v>
      </c>
      <c r="G310" s="5">
        <v>2.35877559634601</v>
      </c>
      <c r="H310" s="5">
        <v>2.5458104665733798</v>
      </c>
      <c r="I310" s="5">
        <v>2.8020083212631399</v>
      </c>
      <c r="J310" s="1"/>
      <c r="K310" s="10">
        <f t="shared" si="16"/>
        <v>0.97702654777063003</v>
      </c>
      <c r="L310" s="10">
        <f t="shared" si="17"/>
        <v>1.6504888793856476</v>
      </c>
      <c r="M310" s="8">
        <f t="shared" si="18"/>
        <v>-9.0594198809412774E-14</v>
      </c>
      <c r="N310" s="8">
        <f>B310^2* UnnormalizedLowerIncompleteGamma(2/2 + 1, (A310/B310)^(2)) + C310^2 *UnnormalizedUpperIncompleteGamma(2/3.6 + 1, (A310/C310)^(3.6)) - 1</f>
        <v>-5.9952043329758453E-15</v>
      </c>
      <c r="O310" s="8">
        <f t="shared" si="19"/>
        <v>-5.9952043329758453E-15</v>
      </c>
    </row>
    <row r="311" spans="1:15" x14ac:dyDescent="0.25">
      <c r="A311" s="9">
        <v>3.0999999999999899</v>
      </c>
      <c r="B311" s="5">
        <v>1.00001566282373</v>
      </c>
      <c r="C311" s="5">
        <v>1.65343358180289</v>
      </c>
      <c r="D311" s="5">
        <v>1.41574294688806</v>
      </c>
      <c r="E311" s="5">
        <v>1.7998992235695901</v>
      </c>
      <c r="F311" s="5">
        <v>2.2061328635848501</v>
      </c>
      <c r="G311" s="5">
        <v>2.3588048234700199</v>
      </c>
      <c r="H311" s="5">
        <v>2.5458869025561301</v>
      </c>
      <c r="I311" s="5">
        <v>2.8023214839694099</v>
      </c>
      <c r="J311" s="1"/>
      <c r="K311" s="10">
        <f t="shared" si="16"/>
        <v>0.97693924667774257</v>
      </c>
      <c r="L311" s="10">
        <f t="shared" si="17"/>
        <v>1.6528725182583863</v>
      </c>
      <c r="M311" s="8">
        <f t="shared" si="18"/>
        <v>-6.9277916736609768E-14</v>
      </c>
      <c r="N311" s="8">
        <f>B311^2* UnnormalizedLowerIncompleteGamma(2/2 + 1, (A311/B311)^(2)) + C311^2 *UnnormalizedUpperIncompleteGamma(2/3.6 + 1, (A311/C311)^(3.6)) - 1</f>
        <v>-8.659739592076221E-15</v>
      </c>
      <c r="O311" s="8">
        <f t="shared" si="19"/>
        <v>-8.659739592076221E-15</v>
      </c>
    </row>
    <row r="312" spans="1:15" x14ac:dyDescent="0.25">
      <c r="A312" s="9">
        <v>3.1099999999999901</v>
      </c>
      <c r="B312" s="5">
        <v>1.00001471543368</v>
      </c>
      <c r="C312" s="5">
        <v>1.6558011038465199</v>
      </c>
      <c r="D312" s="5">
        <v>1.41574249642651</v>
      </c>
      <c r="E312" s="5">
        <v>1.7999004876504501</v>
      </c>
      <c r="F312" s="5">
        <v>2.20614561985311</v>
      </c>
      <c r="G312" s="5">
        <v>2.3588322814045002</v>
      </c>
      <c r="H312" s="5">
        <v>2.54595872216523</v>
      </c>
      <c r="I312" s="5">
        <v>2.8026157551964799</v>
      </c>
      <c r="J312" s="1"/>
      <c r="K312" s="10">
        <f t="shared" si="16"/>
        <v>0.97685346412240948</v>
      </c>
      <c r="L312" s="10">
        <f t="shared" si="17"/>
        <v>1.6552531551466048</v>
      </c>
      <c r="M312" s="8">
        <f t="shared" si="18"/>
        <v>2.3092638912203256E-14</v>
      </c>
      <c r="N312" s="8">
        <f>B312^2* UnnormalizedLowerIncompleteGamma(2/2 + 1, (A312/B312)^(2)) + C312^2 *UnnormalizedUpperIncompleteGamma(2/3.6 + 1, (A312/C312)^(3.6)) - 1</f>
        <v>-9.3258734068513149E-15</v>
      </c>
      <c r="O312" s="8">
        <f t="shared" si="19"/>
        <v>-9.3258734068513149E-15</v>
      </c>
    </row>
    <row r="313" spans="1:15" x14ac:dyDescent="0.25">
      <c r="A313" s="9">
        <v>3.1199999999999899</v>
      </c>
      <c r="B313" s="5">
        <v>1.00001382262626</v>
      </c>
      <c r="C313" s="5">
        <v>1.65816444666426</v>
      </c>
      <c r="D313" s="5">
        <v>1.4157420693610301</v>
      </c>
      <c r="E313" s="5">
        <v>1.7999016703806701</v>
      </c>
      <c r="F313" s="5">
        <v>2.2061575985743298</v>
      </c>
      <c r="G313" s="5">
        <v>2.3588580721633701</v>
      </c>
      <c r="H313" s="5">
        <v>2.5460261909249802</v>
      </c>
      <c r="I313" s="5">
        <v>2.80289222014573</v>
      </c>
      <c r="J313" s="1"/>
      <c r="K313" s="10">
        <f t="shared" si="16"/>
        <v>0.9767691727505794</v>
      </c>
      <c r="L313" s="10">
        <f t="shared" si="17"/>
        <v>1.6576308208884289</v>
      </c>
      <c r="M313" s="8">
        <f t="shared" si="18"/>
        <v>-7.460698725481052E-14</v>
      </c>
      <c r="N313" s="8">
        <f>B313^2* UnnormalizedLowerIncompleteGamma(2/2 + 1, (A313/B313)^(2)) + C313^2 *UnnormalizedUpperIncompleteGamma(2/3.6 + 1, (A313/C313)^(3.6)) - 1</f>
        <v>-1.5543122344752192E-15</v>
      </c>
      <c r="O313" s="8">
        <f t="shared" si="19"/>
        <v>-1.5543122344752192E-15</v>
      </c>
    </row>
    <row r="314" spans="1:15" x14ac:dyDescent="0.25">
      <c r="A314" s="9">
        <v>3.1299999999999901</v>
      </c>
      <c r="B314" s="5">
        <v>1.00001298142985</v>
      </c>
      <c r="C314" s="5">
        <v>1.6605236287923899</v>
      </c>
      <c r="D314" s="5">
        <v>1.4157416645885399</v>
      </c>
      <c r="E314" s="5">
        <v>1.79990277675807</v>
      </c>
      <c r="F314" s="5">
        <v>2.2061688449246102</v>
      </c>
      <c r="G314" s="5">
        <v>2.3588822922007902</v>
      </c>
      <c r="H314" s="5">
        <v>2.5460895599288098</v>
      </c>
      <c r="I314" s="5">
        <v>2.8031519051246798</v>
      </c>
      <c r="J314" s="1"/>
      <c r="K314" s="10">
        <f t="shared" si="16"/>
        <v>0.97668634572320046</v>
      </c>
      <c r="L314" s="10">
        <f t="shared" si="17"/>
        <v>1.660005546045074</v>
      </c>
      <c r="M314" s="8">
        <f t="shared" si="18"/>
        <v>1.1546319456101628E-13</v>
      </c>
      <c r="N314" s="8">
        <f>B314^2* UnnormalizedLowerIncompleteGamma(2/2 + 1, (A314/B314)^(2)) + C314^2 *UnnormalizedUpperIncompleteGamma(2/3.6 + 1, (A314/C314)^(3.6)) - 1</f>
        <v>-1.2212453270876722E-14</v>
      </c>
      <c r="O314" s="8">
        <f t="shared" si="19"/>
        <v>-1.2212453270876722E-14</v>
      </c>
    </row>
    <row r="315" spans="1:15" x14ac:dyDescent="0.25">
      <c r="A315" s="9">
        <v>3.1399999999999899</v>
      </c>
      <c r="B315" s="5">
        <v>1.0000121890240501</v>
      </c>
      <c r="C315" s="5">
        <v>1.66287866871871</v>
      </c>
      <c r="D315" s="5">
        <v>1.4157412810510399</v>
      </c>
      <c r="E315" s="5">
        <v>1.79990381148934</v>
      </c>
      <c r="F315" s="5">
        <v>2.2061794015970402</v>
      </c>
      <c r="G315" s="5">
        <v>2.3589050326944898</v>
      </c>
      <c r="H315" s="5">
        <v>2.54614906657247</v>
      </c>
      <c r="I315" s="5">
        <v>2.8033957805340601</v>
      </c>
      <c r="J315" s="1"/>
      <c r="K315" s="10">
        <f t="shared" si="16"/>
        <v>0.97660495670597447</v>
      </c>
      <c r="L315" s="10">
        <f t="shared" si="17"/>
        <v>1.6623773609005656</v>
      </c>
      <c r="M315" s="8">
        <f t="shared" si="18"/>
        <v>1.7408297026122455E-13</v>
      </c>
      <c r="N315" s="8">
        <f>B315^2* UnnormalizedLowerIncompleteGamma(2/2 + 1, (A315/B315)^(2)) + C315^2 *UnnormalizedUpperIncompleteGamma(2/3.6 + 1, (A315/C315)^(3.6)) - 1</f>
        <v>-1.9761969838327786E-14</v>
      </c>
      <c r="O315" s="8">
        <f t="shared" si="19"/>
        <v>-1.9761969838327786E-14</v>
      </c>
    </row>
    <row r="316" spans="1:15" x14ac:dyDescent="0.25">
      <c r="A316" s="9">
        <v>3.1499999999999901</v>
      </c>
      <c r="B316" s="5">
        <v>1.0000114427325799</v>
      </c>
      <c r="C316" s="5">
        <v>1.6652295848790399</v>
      </c>
      <c r="D316" s="5">
        <v>1.41574091773419</v>
      </c>
      <c r="E316" s="5">
        <v>1.7999047790059</v>
      </c>
      <c r="F316" s="5">
        <v>2.2061893089295399</v>
      </c>
      <c r="G316" s="5">
        <v>2.35892637981586</v>
      </c>
      <c r="H316" s="5">
        <v>2.54620493525286</v>
      </c>
      <c r="I316" s="5">
        <v>2.8036247637155101</v>
      </c>
      <c r="J316" s="1"/>
      <c r="K316" s="10">
        <f t="shared" si="16"/>
        <v>0.97652497985932951</v>
      </c>
      <c r="L316" s="10">
        <f t="shared" si="17"/>
        <v>1.6647462954616077</v>
      </c>
      <c r="M316" s="8">
        <f t="shared" si="18"/>
        <v>3.1974423109204508E-14</v>
      </c>
      <c r="N316" s="8">
        <f>B316^2* UnnormalizedLowerIncompleteGamma(2/2 + 1, (A316/B316)^(2)) + C316^2 *UnnormalizedUpperIncompleteGamma(2/3.6 + 1, (A316/C316)^(3.6)) - 1</f>
        <v>-8.5487172896137054E-15</v>
      </c>
      <c r="O316" s="8">
        <f t="shared" si="19"/>
        <v>-8.5487172896137054E-15</v>
      </c>
    </row>
    <row r="317" spans="1:15" x14ac:dyDescent="0.25">
      <c r="A317" s="9">
        <v>3.1599999999999899</v>
      </c>
      <c r="B317" s="5">
        <v>1.0000107400164799</v>
      </c>
      <c r="C317" s="5">
        <v>1.6675763956538501</v>
      </c>
      <c r="D317" s="5">
        <v>1.4157405736658799</v>
      </c>
      <c r="E317" s="5">
        <v>1.7999056834791101</v>
      </c>
      <c r="F317" s="5">
        <v>2.2061986050265299</v>
      </c>
      <c r="G317" s="5">
        <v>2.3589464149872801</v>
      </c>
      <c r="H317" s="5">
        <v>2.5462573780340998</v>
      </c>
      <c r="I317" s="5">
        <v>2.8038397216656601</v>
      </c>
      <c r="J317" s="1"/>
      <c r="K317" s="10">
        <f t="shared" si="16"/>
        <v>0.97644638982860521</v>
      </c>
      <c r="L317" s="10">
        <f t="shared" si="17"/>
        <v>1.6671123794575891</v>
      </c>
      <c r="M317" s="8">
        <f t="shared" si="18"/>
        <v>7.1054273576010019E-14</v>
      </c>
      <c r="N317" s="8">
        <f>B317^2* UnnormalizedLowerIncompleteGamma(2/2 + 1, (A317/B317)^(2)) + C317^2 *UnnormalizedUpperIncompleteGamma(2/3.6 + 1, (A317/C317)^(3.6)) - 1</f>
        <v>-1.099120794378905E-14</v>
      </c>
      <c r="O317" s="8">
        <f t="shared" si="19"/>
        <v>-1.099120794378905E-14</v>
      </c>
    </row>
    <row r="318" spans="1:15" x14ac:dyDescent="0.25">
      <c r="A318" s="9">
        <v>3.1699999999999902</v>
      </c>
      <c r="B318" s="5">
        <v>1.00001007846767</v>
      </c>
      <c r="C318" s="5">
        <v>1.66991911936509</v>
      </c>
      <c r="D318" s="5">
        <v>1.4157402479148899</v>
      </c>
      <c r="E318" s="5">
        <v>1.7999065288345699</v>
      </c>
      <c r="F318" s="5">
        <v>2.20620732587482</v>
      </c>
      <c r="G318" s="5">
        <v>2.3589652151272</v>
      </c>
      <c r="H318" s="5">
        <v>2.5463065952820401</v>
      </c>
      <c r="I318" s="5">
        <v>2.8040414736222901</v>
      </c>
      <c r="J318" s="1"/>
      <c r="K318" s="10">
        <f t="shared" si="16"/>
        <v>0.97636916173444577</v>
      </c>
      <c r="L318" s="10">
        <f t="shared" si="17"/>
        <v>1.669475642340724</v>
      </c>
      <c r="M318" s="8">
        <f t="shared" si="18"/>
        <v>1.1723955140041653E-13</v>
      </c>
      <c r="N318" s="8">
        <f>B318^2* UnnormalizedLowerIncompleteGamma(2/2 + 1, (A318/B318)^(2)) + C318^2 *UnnormalizedUpperIncompleteGamma(2/3.6 + 1, (A318/C318)^(3.6)) - 1</f>
        <v>-1.0769163338864018E-14</v>
      </c>
      <c r="O318" s="8">
        <f t="shared" si="19"/>
        <v>-1.0769163338864018E-14</v>
      </c>
    </row>
    <row r="319" spans="1:15" x14ac:dyDescent="0.25">
      <c r="A319" s="9">
        <v>3.1799999999999899</v>
      </c>
      <c r="B319" s="5">
        <v>1.0000094558027</v>
      </c>
      <c r="C319" s="5">
        <v>1.6722577742731799</v>
      </c>
      <c r="D319" s="5">
        <v>1.4157399395895101</v>
      </c>
      <c r="E319" s="5">
        <v>1.7999073187657799</v>
      </c>
      <c r="F319" s="5">
        <v>2.20621550545397</v>
      </c>
      <c r="G319" s="5">
        <v>2.3589828528836501</v>
      </c>
      <c r="H319" s="5">
        <v>2.5463527762687299</v>
      </c>
      <c r="I319" s="5">
        <v>2.8042307935280402</v>
      </c>
      <c r="J319" s="1"/>
      <c r="K319" s="10">
        <f t="shared" si="16"/>
        <v>0.97629327116339748</v>
      </c>
      <c r="L319" s="10">
        <f t="shared" si="17"/>
        <v>1.6718361132863175</v>
      </c>
      <c r="M319" s="8">
        <f t="shared" si="18"/>
        <v>-2.4868995751603507E-14</v>
      </c>
      <c r="N319" s="8">
        <f>B319^2* UnnormalizedLowerIncompleteGamma(2/2 + 1, (A319/B319)^(2)) + C319^2 *UnnormalizedUpperIncompleteGamma(2/3.6 + 1, (A319/C319)^(3.6)) - 1</f>
        <v>-7.1054273576010019E-15</v>
      </c>
      <c r="O319" s="8">
        <f t="shared" si="19"/>
        <v>-7.1054273576010019E-15</v>
      </c>
    </row>
    <row r="320" spans="1:15" x14ac:dyDescent="0.25">
      <c r="A320" s="9">
        <v>3.1899999999999902</v>
      </c>
      <c r="B320" s="5">
        <v>1.0000088698567999</v>
      </c>
      <c r="C320" s="5">
        <v>1.6745923785742101</v>
      </c>
      <c r="D320" s="5">
        <v>1.4157396478362301</v>
      </c>
      <c r="E320" s="5">
        <v>1.79990805674706</v>
      </c>
      <c r="F320" s="5">
        <v>2.20622317584131</v>
      </c>
      <c r="G320" s="5">
        <v>2.3589993968564702</v>
      </c>
      <c r="H320" s="5">
        <v>2.5463960997480699</v>
      </c>
      <c r="I320" s="5">
        <v>2.8044084123767701</v>
      </c>
      <c r="J320" s="1"/>
      <c r="K320" s="10">
        <f t="shared" si="16"/>
        <v>0.97621869415870344</v>
      </c>
      <c r="L320" s="10">
        <f t="shared" si="17"/>
        <v>1.6741938211931513</v>
      </c>
      <c r="M320" s="8">
        <f t="shared" si="18"/>
        <v>5.6843418860808015E-14</v>
      </c>
      <c r="N320" s="8">
        <f>B320^2* UnnormalizedLowerIncompleteGamma(2/2 + 1, (A320/B320)^(2)) + C320^2 *UnnormalizedUpperIncompleteGamma(2/3.6 + 1, (A320/C320)^(3.6)) - 1</f>
        <v>-1.5543122344752192E-14</v>
      </c>
      <c r="O320" s="8">
        <f t="shared" si="19"/>
        <v>-1.5543122344752192E-14</v>
      </c>
    </row>
    <row r="321" spans="1:15" x14ac:dyDescent="0.25">
      <c r="A321" s="9">
        <v>3.19999999999999</v>
      </c>
      <c r="B321" s="5">
        <v>1.00000831857822</v>
      </c>
      <c r="C321" s="5">
        <v>1.67692295039723</v>
      </c>
      <c r="D321" s="5">
        <v>1.4157393718383999</v>
      </c>
      <c r="E321" s="5">
        <v>1.7999087460457599</v>
      </c>
      <c r="F321" s="5">
        <v>2.2062303673118802</v>
      </c>
      <c r="G321" s="5">
        <v>2.3590149118089099</v>
      </c>
      <c r="H321" s="5">
        <v>2.5464367345037702</v>
      </c>
      <c r="I321" s="5">
        <v>2.80457502044777</v>
      </c>
      <c r="J321" s="1"/>
      <c r="K321" s="10">
        <f t="shared" si="16"/>
        <v>0.97614540721129328</v>
      </c>
      <c r="L321" s="10">
        <f t="shared" si="17"/>
        <v>1.6765487946839819</v>
      </c>
      <c r="M321" s="8">
        <f t="shared" si="18"/>
        <v>-7.815970093361102E-14</v>
      </c>
      <c r="N321" s="8">
        <f>B321^2* UnnormalizedLowerIncompleteGamma(2/2 + 1, (A321/B321)^(2)) + C321^2 *UnnormalizedUpperIncompleteGamma(2/3.6 + 1, (A321/C321)^(3.6)) - 1</f>
        <v>-1.1102230246251565E-15</v>
      </c>
      <c r="O321" s="8">
        <f t="shared" si="19"/>
        <v>-1.1102230246251565E-15</v>
      </c>
    </row>
    <row r="322" spans="1:15" x14ac:dyDescent="0.25">
      <c r="A322" s="9">
        <v>3.2099999999999902</v>
      </c>
      <c r="B322" s="5">
        <v>1.0000078000227099</v>
      </c>
      <c r="C322" s="5">
        <v>1.67924950780175</v>
      </c>
      <c r="D322" s="5">
        <v>1.4157391108149699</v>
      </c>
      <c r="E322" s="5">
        <v>1.79990938973395</v>
      </c>
      <c r="F322" s="5">
        <v>2.2062371084335299</v>
      </c>
      <c r="G322" s="5">
        <v>2.3590294588689602</v>
      </c>
      <c r="H322" s="5">
        <v>2.5464748398710801</v>
      </c>
      <c r="I322" s="5">
        <v>2.8047312694324802</v>
      </c>
      <c r="J322" s="1"/>
      <c r="K322" s="10">
        <f t="shared" si="16"/>
        <v>0.97607338725096249</v>
      </c>
      <c r="L322" s="10">
        <f t="shared" si="17"/>
        <v>1.6789010621061491</v>
      </c>
      <c r="M322" s="8">
        <f t="shared" si="18"/>
        <v>5.1514348342607263E-14</v>
      </c>
      <c r="N322" s="8">
        <f>B322^2* UnnormalizedLowerIncompleteGamma(2/2 + 1, (A322/B322)^(2)) + C322^2 *UnnormalizedUpperIncompleteGamma(2/3.6 + 1, (A322/C322)^(3.6)) - 1</f>
        <v>-1.8318679906315083E-14</v>
      </c>
      <c r="O322" s="8">
        <f t="shared" si="19"/>
        <v>-1.8318679906315083E-14</v>
      </c>
    </row>
    <row r="323" spans="1:15" x14ac:dyDescent="0.25">
      <c r="A323" s="9">
        <v>3.21999999999999</v>
      </c>
      <c r="B323" s="5">
        <v>1.0000073123484099</v>
      </c>
      <c r="C323" s="5">
        <v>1.6815720687753799</v>
      </c>
      <c r="D323" s="5">
        <v>1.4157388640191999</v>
      </c>
      <c r="E323" s="5">
        <v>1.7999099906993501</v>
      </c>
      <c r="F323" s="5">
        <v>2.2062434261573101</v>
      </c>
      <c r="G323" s="5">
        <v>2.35904309572097</v>
      </c>
      <c r="H323" s="5">
        <v>2.5465105662331302</v>
      </c>
      <c r="I323" s="5">
        <v>2.8048777744586002</v>
      </c>
      <c r="J323" s="1"/>
      <c r="K323" s="10">
        <f t="shared" ref="K323:K351" si="20">GetH1Initial(A323)</f>
        <v>0.97600261163773683</v>
      </c>
      <c r="L323" s="10">
        <f t="shared" ref="L323:L351" si="21">GetH2Initial(A323)</f>
        <v>1.6812506515322845</v>
      </c>
      <c r="M323" s="8">
        <f t="shared" ref="M323:M351" si="22">(A323/B323)^2-(A323/C323)^3.6</f>
        <v>-2.3092638912203256E-14</v>
      </c>
      <c r="N323" s="8">
        <f>B323^2* UnnormalizedLowerIncompleteGamma(2/2 + 1, (A323/B323)^(2)) + C323^2 *UnnormalizedUpperIncompleteGamma(2/3.6 + 1, (A323/C323)^(3.6)) - 1</f>
        <v>-1.2212453270876722E-14</v>
      </c>
      <c r="O323" s="8">
        <f t="shared" ref="O323:O351" si="23">CalculateF1_ForCell(A323,B323,C323)</f>
        <v>-1.2212453270876722E-14</v>
      </c>
    </row>
    <row r="324" spans="1:15" x14ac:dyDescent="0.25">
      <c r="A324" s="9">
        <v>3.2299999999999902</v>
      </c>
      <c r="B324" s="5">
        <v>1.00000685381077</v>
      </c>
      <c r="C324" s="5">
        <v>1.6838906512316001</v>
      </c>
      <c r="D324" s="5">
        <v>1.41573863073746</v>
      </c>
      <c r="E324" s="5">
        <v>1.7999105516558001</v>
      </c>
      <c r="F324" s="5">
        <v>2.2062493459035499</v>
      </c>
      <c r="G324" s="5">
        <v>2.3590558767878198</v>
      </c>
      <c r="H324" s="5">
        <v>2.5465440554932002</v>
      </c>
      <c r="I324" s="5">
        <v>2.8050151160158898</v>
      </c>
      <c r="J324" s="1"/>
      <c r="K324" s="10">
        <f t="shared" si="20"/>
        <v>0.97593305815341846</v>
      </c>
      <c r="L324" s="10">
        <f t="shared" si="21"/>
        <v>1.6835975907611183</v>
      </c>
      <c r="M324" s="8">
        <f t="shared" si="22"/>
        <v>1.0125233984581428E-13</v>
      </c>
      <c r="N324" s="8">
        <f>B324^2* UnnormalizedLowerIncompleteGamma(2/2 + 1, (A324/B324)^(2)) + C324^2 *UnnormalizedUpperIncompleteGamma(2/3.6 + 1, (A324/C324)^(3.6)) - 1</f>
        <v>-1.021405182655144E-14</v>
      </c>
      <c r="O324" s="8">
        <f t="shared" si="23"/>
        <v>-1.021405182655144E-14</v>
      </c>
    </row>
    <row r="325" spans="1:15" x14ac:dyDescent="0.25">
      <c r="A325" s="9">
        <v>3.23999999999999</v>
      </c>
      <c r="B325" s="5">
        <v>1.00000642275784</v>
      </c>
      <c r="C325" s="5">
        <v>1.68620527300766</v>
      </c>
      <c r="D325" s="5">
        <v>1.41573841028799</v>
      </c>
      <c r="E325" s="5">
        <v>1.79991107515315</v>
      </c>
      <c r="F325" s="5">
        <v>2.2062548916435301</v>
      </c>
      <c r="G325" s="5">
        <v>2.3590678534042402</v>
      </c>
      <c r="H325" s="5">
        <v>2.5465754415239301</v>
      </c>
      <c r="I325" s="5">
        <v>2.8051438417880901</v>
      </c>
      <c r="J325" s="1"/>
      <c r="K325" s="10">
        <f t="shared" si="20"/>
        <v>0.97586470499330846</v>
      </c>
      <c r="L325" s="10">
        <f t="shared" si="21"/>
        <v>1.6859419073183768</v>
      </c>
      <c r="M325" s="8">
        <f t="shared" si="22"/>
        <v>2.1138646388862981E-13</v>
      </c>
      <c r="N325" s="8">
        <f>B325^2* UnnormalizedLowerIncompleteGamma(2/2 + 1, (A325/B325)^(2)) + C325^2 *UnnormalizedUpperIncompleteGamma(2/3.6 + 1, (A325/C325)^(3.6)) - 1</f>
        <v>-1.6431300764452317E-14</v>
      </c>
      <c r="O325" s="8">
        <f t="shared" si="23"/>
        <v>-1.6431300764452317E-14</v>
      </c>
    </row>
    <row r="326" spans="1:15" x14ac:dyDescent="0.25">
      <c r="A326" s="9">
        <v>3.2499999999999898</v>
      </c>
      <c r="B326" s="5">
        <v>1.0000060176257199</v>
      </c>
      <c r="C326" s="5">
        <v>1.68851595186265</v>
      </c>
      <c r="D326" s="5">
        <v>1.41573820201972</v>
      </c>
      <c r="E326" s="5">
        <v>1.7999115635865699</v>
      </c>
      <c r="F326" s="5">
        <v>2.2062600859772101</v>
      </c>
      <c r="G326" s="5">
        <v>2.3590790739815599</v>
      </c>
      <c r="H326" s="5">
        <v>2.5466048505944299</v>
      </c>
      <c r="I326" s="5">
        <v>2.80526446839507</v>
      </c>
      <c r="J326" s="1"/>
      <c r="K326" s="10">
        <f t="shared" si="20"/>
        <v>0.97579753075810338</v>
      </c>
      <c r="L326" s="10">
        <f t="shared" si="21"/>
        <v>1.688283628457768</v>
      </c>
      <c r="M326" s="8">
        <f t="shared" si="22"/>
        <v>-5.6843418860808015E-14</v>
      </c>
      <c r="N326" s="8">
        <f>B326^2* UnnormalizedLowerIncompleteGamma(2/2 + 1, (A326/B326)^(2)) + C326^2 *UnnormalizedUpperIncompleteGamma(2/3.6 + 1, (A326/C326)^(3.6)) - 1</f>
        <v>-6.2172489379008766E-15</v>
      </c>
      <c r="O326" s="8">
        <f t="shared" si="23"/>
        <v>-6.2172489379008766E-15</v>
      </c>
    </row>
    <row r="327" spans="1:15" x14ac:dyDescent="0.25">
      <c r="A327" s="9">
        <v>3.25999999999999</v>
      </c>
      <c r="B327" s="5">
        <v>1.0000056369341701</v>
      </c>
      <c r="C327" s="5">
        <v>1.6908227054756999</v>
      </c>
      <c r="D327" s="5">
        <v>1.4157380053111599</v>
      </c>
      <c r="E327" s="5">
        <v>1.7999120192054501</v>
      </c>
      <c r="F327" s="5">
        <v>2.2062649502071099</v>
      </c>
      <c r="G327" s="5">
        <v>2.35908958416432</v>
      </c>
      <c r="H327" s="5">
        <v>2.5466324017763702</v>
      </c>
      <c r="I327" s="5">
        <v>2.8053774830492699</v>
      </c>
      <c r="J327" s="1"/>
      <c r="K327" s="10">
        <f t="shared" si="20"/>
        <v>0.97573151444595951</v>
      </c>
      <c r="L327" s="10">
        <f t="shared" si="21"/>
        <v>1.6906227811620484</v>
      </c>
      <c r="M327" s="8">
        <f t="shared" si="22"/>
        <v>2.8421709430404007E-14</v>
      </c>
      <c r="N327" s="8">
        <f>B327^2* UnnormalizedLowerIncompleteGamma(2/2 + 1, (A327/B327)^(2)) + C327^2 *UnnormalizedUpperIncompleteGamma(2/3.6 + 1, (A327/C327)^(3.6)) - 1</f>
        <v>-5.1070259132757201E-15</v>
      </c>
      <c r="O327" s="8">
        <f t="shared" si="23"/>
        <v>-5.1070259132757201E-15</v>
      </c>
    </row>
    <row r="328" spans="1:15" x14ac:dyDescent="0.25">
      <c r="A328" s="9">
        <v>3.2699999999999898</v>
      </c>
      <c r="B328" s="5">
        <v>1.0000052792825</v>
      </c>
      <c r="C328" s="5">
        <v>1.6931255514442101</v>
      </c>
      <c r="D328" s="5">
        <v>1.4157378195692201</v>
      </c>
      <c r="E328" s="5">
        <v>1.79991244412177</v>
      </c>
      <c r="F328" s="5">
        <v>2.2062695044083598</v>
      </c>
      <c r="G328" s="5">
        <v>2.35909942697905</v>
      </c>
      <c r="H328" s="5">
        <v>2.5466582073299402</v>
      </c>
      <c r="I328" s="5">
        <v>2.8054833451300598</v>
      </c>
      <c r="J328" s="1"/>
      <c r="K328" s="10">
        <f t="shared" si="20"/>
        <v>0.97566663544472454</v>
      </c>
      <c r="L328" s="10">
        <f t="shared" si="21"/>
        <v>1.6929593921441672</v>
      </c>
      <c r="M328" s="8">
        <f t="shared" si="22"/>
        <v>-1.3500311979441904E-13</v>
      </c>
      <c r="N328" s="8">
        <f>B328^2* UnnormalizedLowerIncompleteGamma(2/2 + 1, (A328/B328)^(2)) + C328^2 *UnnormalizedUpperIncompleteGamma(2/3.6 + 1, (A328/C328)^(3.6)) - 1</f>
        <v>-3.9968028886505635E-15</v>
      </c>
      <c r="O328" s="8">
        <f t="shared" si="23"/>
        <v>-3.9968028886505635E-15</v>
      </c>
    </row>
    <row r="329" spans="1:15" x14ac:dyDescent="0.25">
      <c r="A329" s="9">
        <v>3.27999999999999</v>
      </c>
      <c r="B329" s="5">
        <v>1.00000494334557</v>
      </c>
      <c r="C329" s="5">
        <v>1.6954245072823599</v>
      </c>
      <c r="D329" s="5">
        <v>1.41573764422815</v>
      </c>
      <c r="E329" s="5">
        <v>1.79991284031802</v>
      </c>
      <c r="F329" s="5">
        <v>2.2062737674954098</v>
      </c>
      <c r="G329" s="5">
        <v>2.3591086429756798</v>
      </c>
      <c r="H329" s="5">
        <v>2.5466823730705501</v>
      </c>
      <c r="I329" s="5">
        <v>2.8055824876800202</v>
      </c>
      <c r="J329" s="1"/>
      <c r="K329" s="10">
        <f t="shared" si="20"/>
        <v>0.97560287352432873</v>
      </c>
      <c r="L329" s="10">
        <f t="shared" si="21"/>
        <v>1.6952934878484838</v>
      </c>
      <c r="M329" s="8">
        <f t="shared" si="22"/>
        <v>1.1191048088221578E-13</v>
      </c>
      <c r="N329" s="8">
        <f>B329^2* UnnormalizedLowerIncompleteGamma(2/2 + 1, (A329/B329)^(2)) + C329^2 *UnnormalizedUpperIncompleteGamma(2/3.6 + 1, (A329/C329)^(3.6)) - 1</f>
        <v>-1.9317880628477724E-14</v>
      </c>
      <c r="O329" s="8">
        <f t="shared" si="23"/>
        <v>-1.9317880628477724E-14</v>
      </c>
    </row>
    <row r="330" spans="1:15" x14ac:dyDescent="0.25">
      <c r="A330" s="9">
        <v>3.2899999999999898</v>
      </c>
      <c r="B330" s="5">
        <v>1.0000046278700501</v>
      </c>
      <c r="C330" s="5">
        <v>1.6977195904195701</v>
      </c>
      <c r="D330" s="5">
        <v>1.41573747874848</v>
      </c>
      <c r="E330" s="5">
        <v>1.7999132096547199</v>
      </c>
      <c r="F330" s="5">
        <v>2.2062777572851999</v>
      </c>
      <c r="G330" s="5">
        <v>2.35911727036178</v>
      </c>
      <c r="H330" s="5">
        <v>2.5467049987172099</v>
      </c>
      <c r="I330" s="5">
        <v>2.8056753188264199</v>
      </c>
      <c r="J330" s="1"/>
      <c r="K330" s="10">
        <f t="shared" si="20"/>
        <v>0.97554020882933623</v>
      </c>
      <c r="L330" s="10">
        <f t="shared" si="21"/>
        <v>1.6976250944520546</v>
      </c>
      <c r="M330" s="8">
        <f t="shared" si="22"/>
        <v>7.460698725481052E-14</v>
      </c>
      <c r="N330" s="8">
        <f>B330^2* UnnormalizedLowerIncompleteGamma(2/2 + 1, (A330/B330)^(2)) + C330^2 *UnnormalizedUpperIncompleteGamma(2/3.6 + 1, (A330/C330)^(3.6)) - 1</f>
        <v>-4.1078251911130792E-15</v>
      </c>
      <c r="O330" s="8">
        <f t="shared" si="23"/>
        <v>-4.1078251911130792E-15</v>
      </c>
    </row>
    <row r="331" spans="1:15" x14ac:dyDescent="0.25">
      <c r="A331" s="9">
        <v>3.2999999999999901</v>
      </c>
      <c r="B331" s="5">
        <v>1.0000043316707199</v>
      </c>
      <c r="C331" s="5">
        <v>1.70001081819917</v>
      </c>
      <c r="D331" s="5">
        <v>1.41573732261596</v>
      </c>
      <c r="E331" s="5">
        <v>1.79991355387751</v>
      </c>
      <c r="F331" s="5">
        <v>2.2062814905572599</v>
      </c>
      <c r="G331" s="5">
        <v>2.35912534513009</v>
      </c>
      <c r="H331" s="5">
        <v>2.54672617822346</v>
      </c>
      <c r="I331" s="5">
        <v>2.8057622231313699</v>
      </c>
      <c r="J331" s="1"/>
      <c r="K331" s="10">
        <f t="shared" si="20"/>
        <v>0.9754786218716488</v>
      </c>
      <c r="L331" s="10">
        <f t="shared" si="21"/>
        <v>1.6999542378659851</v>
      </c>
      <c r="M331" s="8">
        <f t="shared" si="22"/>
        <v>8.5265128291212022E-14</v>
      </c>
      <c r="N331" s="8">
        <f>B331^2* UnnormalizedLowerIncompleteGamma(2/2 + 1, (A331/B331)^(2)) + C331^2 *UnnormalizedUpperIncompleteGamma(2/3.6 + 1, (A331/C331)^(3.6)) - 1</f>
        <v>-1.4099832412739488E-14</v>
      </c>
      <c r="O331" s="8">
        <f t="shared" si="23"/>
        <v>-1.4099832412739488E-14</v>
      </c>
    </row>
    <row r="332" spans="1:15" x14ac:dyDescent="0.25">
      <c r="A332" s="9">
        <v>3.3099999999999898</v>
      </c>
      <c r="B332" s="5">
        <v>1.00000405362712</v>
      </c>
      <c r="C332" s="5">
        <v>1.70229820787718</v>
      </c>
      <c r="D332" s="5">
        <v>1.4157371753405501</v>
      </c>
      <c r="E332" s="5">
        <v>1.7999138746238701</v>
      </c>
      <c r="F332" s="5">
        <v>2.2062849831106401</v>
      </c>
      <c r="G332" s="5">
        <v>2.3591329011795699</v>
      </c>
      <c r="H332" s="5">
        <v>2.5467460000914799</v>
      </c>
      <c r="I332" s="5">
        <v>2.8058435628739802</v>
      </c>
      <c r="J332" s="1"/>
      <c r="K332" s="10">
        <f t="shared" si="20"/>
        <v>0.97541809352336262</v>
      </c>
      <c r="L332" s="10">
        <f t="shared" si="21"/>
        <v>1.7022809437368407</v>
      </c>
      <c r="M332" s="8">
        <f t="shared" si="22"/>
        <v>1.2789769243681803E-13</v>
      </c>
      <c r="N332" s="8">
        <f>B332^2* UnnormalizedLowerIncompleteGamma(2/2 + 1, (A332/B332)^(2)) + C332^2 *UnnormalizedUpperIncompleteGamma(2/3.6 + 1, (A332/C332)^(3.6)) - 1</f>
        <v>-1.4321877017664519E-14</v>
      </c>
      <c r="O332" s="8">
        <f t="shared" si="23"/>
        <v>-1.4321877017664519E-14</v>
      </c>
    </row>
    <row r="333" spans="1:15" x14ac:dyDescent="0.25">
      <c r="A333" s="9">
        <v>3.3199999999999901</v>
      </c>
      <c r="B333" s="5">
        <v>1.0000037926801899</v>
      </c>
      <c r="C333" s="5">
        <v>1.70458177662111</v>
      </c>
      <c r="D333" s="5">
        <v>1.41573703645549</v>
      </c>
      <c r="E333" s="5">
        <v>1.7999141734294399</v>
      </c>
      <c r="F333" s="5">
        <v>2.2062882498180301</v>
      </c>
      <c r="G333" s="5">
        <v>2.35913997043028</v>
      </c>
      <c r="H333" s="5">
        <v>2.54676454767035</v>
      </c>
      <c r="I333" s="5">
        <v>2.80591967926759</v>
      </c>
      <c r="J333" s="1"/>
      <c r="K333" s="10">
        <f t="shared" si="20"/>
        <v>0.97535860500977101</v>
      </c>
      <c r="L333" s="10">
        <f t="shared" si="21"/>
        <v>1.7046052374481182</v>
      </c>
      <c r="M333" s="8">
        <f t="shared" si="22"/>
        <v>2.0605739337042905E-13</v>
      </c>
      <c r="N333" s="8">
        <f>B333^2* UnnormalizedLowerIncompleteGamma(2/2 + 1, (A333/B333)^(2)) + C333^2 *UnnormalizedUpperIncompleteGamma(2/3.6 + 1, (A333/C333)^(3.6)) - 1</f>
        <v>-1.8873791418627661E-14</v>
      </c>
      <c r="O333" s="8">
        <f t="shared" si="23"/>
        <v>-1.8873791418627661E-14</v>
      </c>
    </row>
    <row r="334" spans="1:15" x14ac:dyDescent="0.25">
      <c r="A334" s="9">
        <v>3.3299999999999899</v>
      </c>
      <c r="B334" s="5">
        <v>1.00000354782917</v>
      </c>
      <c r="C334" s="5">
        <v>1.7068615415089301</v>
      </c>
      <c r="D334" s="5">
        <v>1.4157369055162701</v>
      </c>
      <c r="E334" s="5">
        <v>1.79991445173406</v>
      </c>
      <c r="F334" s="5">
        <v>2.2062913046769999</v>
      </c>
      <c r="G334" s="5">
        <v>2.3591465829323499</v>
      </c>
      <c r="H334" s="5">
        <v>2.5467818994390998</v>
      </c>
      <c r="I334" s="5">
        <v>2.8059908936150202</v>
      </c>
      <c r="J334" s="1"/>
      <c r="K334" s="10">
        <f t="shared" si="20"/>
        <v>0.97530013790251313</v>
      </c>
      <c r="L334" s="10">
        <f t="shared" si="21"/>
        <v>1.7069271441217675</v>
      </c>
      <c r="M334" s="8">
        <f t="shared" si="22"/>
        <v>7.638334409421077E-14</v>
      </c>
      <c r="N334" s="8">
        <f>B334^2* UnnormalizedLowerIncompleteGamma(2/2 + 1, (A334/B334)^(2)) + C334^2 *UnnormalizedUpperIncompleteGamma(2/3.6 + 1, (A334/C334)^(3.6)) - 1</f>
        <v>-1.6986412276764895E-14</v>
      </c>
      <c r="O334" s="8">
        <f t="shared" si="23"/>
        <v>-1.6986412276764895E-14</v>
      </c>
    </row>
    <row r="335" spans="1:15" x14ac:dyDescent="0.25">
      <c r="A335" s="9">
        <v>3.3399999999999901</v>
      </c>
      <c r="B335" s="5">
        <v>1.0000033181285899</v>
      </c>
      <c r="C335" s="5">
        <v>1.70913751952812</v>
      </c>
      <c r="D335" s="5">
        <v>1.4157367820998099</v>
      </c>
      <c r="E335" s="5">
        <v>1.7999147108873901</v>
      </c>
      <c r="F335" s="5">
        <v>2.2062941608586701</v>
      </c>
      <c r="G335" s="5">
        <v>2.3591527669694599</v>
      </c>
      <c r="H335" s="5">
        <v>2.5467981292752202</v>
      </c>
      <c r="I335" s="5">
        <v>2.80605750840486</v>
      </c>
      <c r="J335" s="1"/>
      <c r="K335" s="10">
        <f t="shared" si="20"/>
        <v>0.9752426741128627</v>
      </c>
      <c r="L335" s="10">
        <f t="shared" si="21"/>
        <v>1.709246688619767</v>
      </c>
      <c r="M335" s="8">
        <f t="shared" si="22"/>
        <v>-2.8421709430404007E-14</v>
      </c>
      <c r="N335" s="8">
        <f>B335^2* UnnormalizedLowerIncompleteGamma(2/2 + 1, (A335/B335)^(2)) + C335^2 *UnnormalizedUpperIncompleteGamma(2/3.6 + 1, (A335/C335)^(3.6)) - 1</f>
        <v>-1.354472090042691E-14</v>
      </c>
      <c r="O335" s="8">
        <f t="shared" si="23"/>
        <v>-1.354472090042691E-14</v>
      </c>
    </row>
    <row r="336" spans="1:15" x14ac:dyDescent="0.25">
      <c r="A336" s="9">
        <v>3.3499999999999899</v>
      </c>
      <c r="B336" s="5">
        <v>1.0000031026854299</v>
      </c>
      <c r="C336" s="5">
        <v>1.7114097275747799</v>
      </c>
      <c r="D336" s="5">
        <v>1.41573666580349</v>
      </c>
      <c r="E336" s="5">
        <v>1.7999149521542599</v>
      </c>
      <c r="F336" s="5">
        <v>2.20629683075378</v>
      </c>
      <c r="G336" s="5">
        <v>2.3591585491568599</v>
      </c>
      <c r="H336" s="5">
        <v>2.5468133067094199</v>
      </c>
      <c r="I336" s="5">
        <v>2.80611980835145</v>
      </c>
      <c r="J336" s="1"/>
      <c r="K336" s="10">
        <f t="shared" si="20"/>
        <v>0.9751861958851552</v>
      </c>
      <c r="L336" s="10">
        <f t="shared" si="21"/>
        <v>1.7115638955457433</v>
      </c>
      <c r="M336" s="8">
        <f t="shared" si="22"/>
        <v>-2.8421709430404007E-14</v>
      </c>
      <c r="N336" s="8">
        <f>B336^2* UnnormalizedLowerIncompleteGamma(2/2 + 1, (A336/B336)^(2)) + C336^2 *UnnormalizedUpperIncompleteGamma(2/3.6 + 1, (A336/C336)^(3.6)) - 1</f>
        <v>-8.659739592076221E-15</v>
      </c>
      <c r="O336" s="8">
        <f t="shared" si="23"/>
        <v>-8.659739592076221E-15</v>
      </c>
    </row>
    <row r="337" spans="1:15" x14ac:dyDescent="0.25">
      <c r="A337" s="9">
        <v>3.3599999999999901</v>
      </c>
      <c r="B337" s="5">
        <v>1.0000029006564</v>
      </c>
      <c r="C337" s="5">
        <v>1.71367818245284</v>
      </c>
      <c r="D337" s="5">
        <v>1.4157365562443001</v>
      </c>
      <c r="E337" s="5">
        <v>1.7999151767197701</v>
      </c>
      <c r="F337" s="5">
        <v>2.2062993260164401</v>
      </c>
      <c r="G337" s="5">
        <v>2.3591639545343899</v>
      </c>
      <c r="H337" s="5">
        <v>2.54682749716721</v>
      </c>
      <c r="I337" s="5">
        <v>2.8061780613812299</v>
      </c>
      <c r="J337" s="1"/>
      <c r="K337" s="10">
        <f t="shared" si="20"/>
        <v>0.97513068579035067</v>
      </c>
      <c r="L337" s="10">
        <f t="shared" si="21"/>
        <v>1.7138787892466363</v>
      </c>
      <c r="M337" s="8">
        <f t="shared" si="22"/>
        <v>6.0396132539608516E-14</v>
      </c>
      <c r="N337" s="8">
        <f>B337^2* UnnormalizedLowerIncompleteGamma(2/2 + 1, (A337/B337)^(2)) + C337^2 *UnnormalizedUpperIncompleteGamma(2/3.6 + 1, (A337/C337)^(3.6)) - 1</f>
        <v>-7.6605388699135801E-15</v>
      </c>
      <c r="O337" s="8">
        <f t="shared" si="23"/>
        <v>-7.6605388699135801E-15</v>
      </c>
    </row>
    <row r="338" spans="1:15" x14ac:dyDescent="0.25">
      <c r="A338" s="9">
        <v>3.3699999999999899</v>
      </c>
      <c r="B338" s="5">
        <v>1.00000271124536</v>
      </c>
      <c r="C338" s="5">
        <v>1.71594290087335</v>
      </c>
      <c r="D338" s="5">
        <v>1.4157364530580701</v>
      </c>
      <c r="E338" s="5">
        <v>1.79991538569402</v>
      </c>
      <c r="F338" s="5">
        <v>2.2063016576055099</v>
      </c>
      <c r="G338" s="5">
        <v>2.35916900665462</v>
      </c>
      <c r="H338" s="5">
        <v>2.5468407621979301</v>
      </c>
      <c r="I338" s="5">
        <v>2.8062325195679501</v>
      </c>
      <c r="J338" s="1"/>
      <c r="K338" s="10">
        <f t="shared" si="20"/>
        <v>0.97507612671972765</v>
      </c>
      <c r="L338" s="10">
        <f t="shared" si="21"/>
        <v>1.7161913938144047</v>
      </c>
      <c r="M338" s="8">
        <f t="shared" si="22"/>
        <v>-7.638334409421077E-14</v>
      </c>
      <c r="N338" s="8">
        <f>B338^2* UnnormalizedLowerIncompleteGamma(2/2 + 1, (A338/B338)^(2)) + C338^2 *UnnormalizedUpperIncompleteGamma(2/3.6 + 1, (A338/C338)^(3.6)) - 1</f>
        <v>-6.2172489379008766E-15</v>
      </c>
      <c r="O338" s="8">
        <f t="shared" si="23"/>
        <v>-6.2172489379008766E-15</v>
      </c>
    </row>
    <row r="339" spans="1:15" x14ac:dyDescent="0.25">
      <c r="A339" s="9">
        <v>3.3799999999999901</v>
      </c>
      <c r="B339" s="5">
        <v>1.00000253370085</v>
      </c>
      <c r="C339" s="5">
        <v>1.71820389945389</v>
      </c>
      <c r="D339" s="5">
        <v>1.4157363558985601</v>
      </c>
      <c r="E339" s="5">
        <v>1.7999155801166</v>
      </c>
      <c r="F339" s="5">
        <v>2.2063038358238898</v>
      </c>
      <c r="G339" s="5">
        <v>2.35917372766637</v>
      </c>
      <c r="H339" s="5">
        <v>2.54685315969187</v>
      </c>
      <c r="I339" s="5">
        <v>2.8062834200193301</v>
      </c>
      <c r="J339" s="1"/>
      <c r="K339" s="10">
        <f t="shared" si="20"/>
        <v>0.97502250187870665</v>
      </c>
      <c r="L339" s="10">
        <f t="shared" si="21"/>
        <v>1.7185017330877705</v>
      </c>
      <c r="M339" s="8">
        <f t="shared" si="22"/>
        <v>2.3092638912203256E-14</v>
      </c>
      <c r="N339" s="8">
        <f>B339^2* UnnormalizedLowerIncompleteGamma(2/2 + 1, (A339/B339)^(2)) + C339^2 *UnnormalizedUpperIncompleteGamma(2/3.6 + 1, (A339/C339)^(3.6)) - 1</f>
        <v>-6.7723604502134549E-15</v>
      </c>
      <c r="O339" s="8">
        <f t="shared" si="23"/>
        <v>-6.7723604502134549E-15</v>
      </c>
    </row>
    <row r="340" spans="1:15" x14ac:dyDescent="0.25">
      <c r="A340" s="9">
        <v>3.3899999999999899</v>
      </c>
      <c r="B340" s="5">
        <v>1.0000023673137499</v>
      </c>
      <c r="C340" s="5">
        <v>1.72046119471795</v>
      </c>
      <c r="D340" s="5">
        <v>1.4157362644367699</v>
      </c>
      <c r="E340" s="5">
        <v>1.79991576096089</v>
      </c>
      <c r="F340" s="5">
        <v>2.2063058703556302</v>
      </c>
      <c r="G340" s="5">
        <v>2.3591781383938999</v>
      </c>
      <c r="H340" s="5">
        <v>2.54686474408595</v>
      </c>
      <c r="I340" s="5">
        <v>2.8063309857172398</v>
      </c>
      <c r="J340" s="1"/>
      <c r="K340" s="10">
        <f t="shared" si="20"/>
        <v>0.97496979478080015</v>
      </c>
      <c r="L340" s="10">
        <f t="shared" si="21"/>
        <v>1.7208098306539965</v>
      </c>
      <c r="M340" s="8">
        <f t="shared" si="22"/>
        <v>0</v>
      </c>
      <c r="N340" s="8">
        <f>B340^2* UnnormalizedLowerIncompleteGamma(2/2 + 1, (A340/B340)^(2)) + C340^2 *UnnormalizedUpperIncompleteGamma(2/3.6 + 1, (A340/C340)^(3.6)) - 1</f>
        <v>-7.2164496600635175E-15</v>
      </c>
      <c r="O340" s="8">
        <f t="shared" si="23"/>
        <v>-7.2164496600635175E-15</v>
      </c>
    </row>
    <row r="341" spans="1:15" x14ac:dyDescent="0.25">
      <c r="A341" s="9">
        <v>3.3999999999999901</v>
      </c>
      <c r="B341" s="5">
        <v>1.00000221141504</v>
      </c>
      <c r="C341" s="5">
        <v>1.7227148030945001</v>
      </c>
      <c r="D341" s="5">
        <v>1.4157361783601301</v>
      </c>
      <c r="E341" s="5">
        <v>1.79991592913801</v>
      </c>
      <c r="F341" s="5">
        <v>2.20630777030116</v>
      </c>
      <c r="G341" s="5">
        <v>2.3591822584118498</v>
      </c>
      <c r="H341" s="5">
        <v>2.5468755665587199</v>
      </c>
      <c r="I341" s="5">
        <v>2.8063754263138798</v>
      </c>
      <c r="J341" s="1"/>
      <c r="K341" s="10">
        <f t="shared" si="20"/>
        <v>0.97491798924168604</v>
      </c>
      <c r="L341" s="10">
        <f t="shared" si="21"/>
        <v>1.7231157098506995</v>
      </c>
      <c r="M341" s="8">
        <f t="shared" si="22"/>
        <v>1.758593271006248E-13</v>
      </c>
      <c r="N341" s="8">
        <f>B341^2* UnnormalizedLowerIncompleteGamma(2/2 + 1, (A341/B341)^(2)) + C341^2 *UnnormalizedUpperIncompleteGamma(2/3.6 + 1, (A341/C341)^(3.6)) - 1</f>
        <v>-1.6764367671839864E-14</v>
      </c>
      <c r="O341" s="8">
        <f t="shared" si="23"/>
        <v>-1.6764367671839864E-14</v>
      </c>
    </row>
    <row r="342" spans="1:15" x14ac:dyDescent="0.25">
      <c r="A342" s="9">
        <v>3.4099999999999899</v>
      </c>
      <c r="B342" s="5">
        <v>1.0000020653737001</v>
      </c>
      <c r="C342" s="5">
        <v>1.7249647409175299</v>
      </c>
      <c r="D342" s="5">
        <v>1.41573609737183</v>
      </c>
      <c r="E342" s="5">
        <v>1.79991608550063</v>
      </c>
      <c r="F342" s="5">
        <v>2.2063095442106202</v>
      </c>
      <c r="G342" s="5">
        <v>2.35918610611626</v>
      </c>
      <c r="H342" s="5">
        <v>2.5468856752148898</v>
      </c>
      <c r="I342" s="5">
        <v>2.8064169388858802</v>
      </c>
      <c r="J342" s="1"/>
      <c r="K342" s="10">
        <f t="shared" si="20"/>
        <v>0.97486706937340151</v>
      </c>
      <c r="L342" s="10">
        <f t="shared" si="21"/>
        <v>1.7254193937676907</v>
      </c>
      <c r="M342" s="8">
        <f t="shared" si="22"/>
        <v>0</v>
      </c>
      <c r="N342" s="8">
        <f>B342^2* UnnormalizedLowerIncompleteGamma(2/2 + 1, (A342/B342)^(2)) + C342^2 *UnnormalizedUpperIncompleteGamma(2/3.6 + 1, (A342/C342)^(3.6)) - 1</f>
        <v>-1.1546319456101628E-14</v>
      </c>
      <c r="O342" s="8">
        <f t="shared" si="23"/>
        <v>-1.1546319456101628E-14</v>
      </c>
    </row>
    <row r="343" spans="1:15" x14ac:dyDescent="0.25">
      <c r="A343" s="9">
        <v>3.4199999999999902</v>
      </c>
      <c r="B343" s="5">
        <v>1.00000192859465</v>
      </c>
      <c r="C343" s="5">
        <v>1.7272110244257399</v>
      </c>
      <c r="D343" s="5">
        <v>1.41573602119006</v>
      </c>
      <c r="E343" s="5">
        <v>1.79991623084653</v>
      </c>
      <c r="F343" s="5">
        <v>2.20631120011537</v>
      </c>
      <c r="G343" s="5">
        <v>2.3591896987917802</v>
      </c>
      <c r="H343" s="5">
        <v>2.5468951152602299</v>
      </c>
      <c r="I343" s="5">
        <v>2.8064557086485098</v>
      </c>
      <c r="J343" s="1"/>
      <c r="K343" s="10">
        <f t="shared" si="20"/>
        <v>0.97481701957865585</v>
      </c>
      <c r="L343" s="10">
        <f t="shared" si="21"/>
        <v>1.7277209052488465</v>
      </c>
      <c r="M343" s="8">
        <f t="shared" si="22"/>
        <v>4.2632564145606011E-14</v>
      </c>
      <c r="N343" s="8">
        <f>B343^2* UnnormalizedLowerIncompleteGamma(2/2 + 1, (A343/B343)^(2)) + C343^2 *UnnormalizedUpperIncompleteGamma(2/3.6 + 1, (A343/C343)^(3.6)) - 1</f>
        <v>-1.1768364061026659E-14</v>
      </c>
      <c r="O343" s="8">
        <f t="shared" si="23"/>
        <v>-1.1768364061026659E-14</v>
      </c>
    </row>
    <row r="344" spans="1:15" x14ac:dyDescent="0.25">
      <c r="A344" s="9">
        <v>3.4299999999999899</v>
      </c>
      <c r="B344" s="5">
        <v>1.00000180051687</v>
      </c>
      <c r="C344" s="5">
        <v>1.7294536697622001</v>
      </c>
      <c r="D344" s="5">
        <v>1.41573594954736</v>
      </c>
      <c r="E344" s="5">
        <v>1.7999163659219699</v>
      </c>
      <c r="F344" s="5">
        <v>2.2063127455578302</v>
      </c>
      <c r="G344" s="5">
        <v>2.3591930526753102</v>
      </c>
      <c r="H344" s="5">
        <v>2.5469039291670099</v>
      </c>
      <c r="I344" s="5">
        <v>2.8064919096319199</v>
      </c>
      <c r="J344" s="1"/>
      <c r="K344" s="10">
        <f t="shared" si="20"/>
        <v>0.97476782454525801</v>
      </c>
      <c r="L344" s="10">
        <f t="shared" si="21"/>
        <v>1.7300202668940019</v>
      </c>
      <c r="M344" s="8">
        <f t="shared" si="22"/>
        <v>-2.3092638912203256E-14</v>
      </c>
      <c r="N344" s="8">
        <f>B344^2* UnnormalizedLowerIncompleteGamma(2/2 + 1, (A344/B344)^(2)) + C344^2 *UnnormalizedUpperIncompleteGamma(2/3.6 + 1, (A344/C344)^(3.6)) - 1</f>
        <v>-1.9984014443252818E-15</v>
      </c>
      <c r="O344" s="8">
        <f t="shared" si="23"/>
        <v>-1.9984014443252818E-15</v>
      </c>
    </row>
    <row r="345" spans="1:15" x14ac:dyDescent="0.25">
      <c r="A345" s="9">
        <v>3.4399999999999902</v>
      </c>
      <c r="B345" s="5">
        <v>1.0000016806115299</v>
      </c>
      <c r="C345" s="5">
        <v>1.7316926929741401</v>
      </c>
      <c r="D345" s="5">
        <v>1.4157358821899799</v>
      </c>
      <c r="E345" s="5">
        <v>1.79991649142481</v>
      </c>
      <c r="F345" s="5">
        <v>2.2063141876197401</v>
      </c>
      <c r="G345" s="5">
        <v>2.3591961830161798</v>
      </c>
      <c r="H345" s="5">
        <v>2.5469121568306901</v>
      </c>
      <c r="I345" s="5">
        <v>2.8065257053211301</v>
      </c>
      <c r="J345" s="1"/>
      <c r="K345" s="10">
        <f t="shared" si="20"/>
        <v>0.974719469240658</v>
      </c>
      <c r="L345" s="10">
        <f t="shared" si="21"/>
        <v>1.73231750106087</v>
      </c>
      <c r="M345" s="8">
        <f t="shared" si="22"/>
        <v>1.1191048088221578E-13</v>
      </c>
      <c r="N345" s="8">
        <f>B345^2* UnnormalizedLowerIncompleteGamma(2/2 + 1, (A345/B345)^(2)) + C345^2 *UnnormalizedUpperIncompleteGamma(2/3.6 + 1, (A345/C345)^(3.6)) - 1</f>
        <v>-1.7652546091539989E-14</v>
      </c>
      <c r="O345" s="8">
        <f t="shared" si="23"/>
        <v>-1.7652546091539989E-14</v>
      </c>
    </row>
    <row r="346" spans="1:15" x14ac:dyDescent="0.25">
      <c r="A346" s="9">
        <v>3.44999999999999</v>
      </c>
      <c r="B346" s="5">
        <v>1.0000015683803201</v>
      </c>
      <c r="C346" s="5">
        <v>1.7339281100127799</v>
      </c>
      <c r="D346" s="5">
        <v>1.41573581887725</v>
      </c>
      <c r="E346" s="5">
        <v>1.79991660800753</v>
      </c>
      <c r="F346" s="5">
        <v>2.2063155329488402</v>
      </c>
      <c r="G346" s="5">
        <v>2.3591991041331801</v>
      </c>
      <c r="H346" s="5">
        <v>2.54691983571812</v>
      </c>
      <c r="I346" s="5">
        <v>2.8065572492618398</v>
      </c>
      <c r="J346" s="1"/>
      <c r="K346" s="10">
        <f t="shared" si="20"/>
        <v>0.97467193890659853</v>
      </c>
      <c r="L346" s="10">
        <f t="shared" si="21"/>
        <v>1.7346126298669799</v>
      </c>
      <c r="M346" s="8">
        <f t="shared" si="22"/>
        <v>1.4210854715202004E-13</v>
      </c>
      <c r="N346" s="8">
        <f>B346^2* UnnormalizedLowerIncompleteGamma(2/2 + 1, (A346/B346)^(2)) + C346^2 *UnnormalizedUpperIncompleteGamma(2/3.6 + 1, (A346/C346)^(3.6)) - 1</f>
        <v>-1.2989609388114332E-14</v>
      </c>
      <c r="O346" s="8">
        <f t="shared" si="23"/>
        <v>-1.2989609388114332E-14</v>
      </c>
    </row>
    <row r="347" spans="1:15" x14ac:dyDescent="0.25">
      <c r="A347" s="9">
        <v>3.4599999999999902</v>
      </c>
      <c r="B347" s="5">
        <v>1.00000146335373</v>
      </c>
      <c r="C347" s="5">
        <v>1.7361599367331699</v>
      </c>
      <c r="D347" s="5">
        <v>1.4157357593809801</v>
      </c>
      <c r="E347" s="5">
        <v>1.79991671628006</v>
      </c>
      <c r="F347" s="5">
        <v>2.2063167877840999</v>
      </c>
      <c r="G347" s="5">
        <v>2.3592018294683399</v>
      </c>
      <c r="H347" s="5">
        <v>2.54692700100779</v>
      </c>
      <c r="I347" s="5">
        <v>2.8065866856334099</v>
      </c>
      <c r="J347" s="1"/>
      <c r="K347" s="10">
        <f t="shared" si="20"/>
        <v>0.97462521905387511</v>
      </c>
      <c r="L347" s="10">
        <f t="shared" si="21"/>
        <v>1.7369056751916361</v>
      </c>
      <c r="M347" s="8">
        <f t="shared" si="22"/>
        <v>5.1514348342607263E-14</v>
      </c>
      <c r="N347" s="8">
        <f>B347^2* UnnormalizedLowerIncompleteGamma(2/2 + 1, (A347/B347)^(2)) + C347^2 *UnnormalizedUpperIncompleteGamma(2/3.6 + 1, (A347/C347)^(3.6)) - 1</f>
        <v>-4.3298697960381105E-15</v>
      </c>
      <c r="O347" s="8">
        <f t="shared" si="23"/>
        <v>-4.3298697960381105E-15</v>
      </c>
    </row>
    <row r="348" spans="1:15" x14ac:dyDescent="0.25">
      <c r="A348" s="9">
        <v>3.46999999999999</v>
      </c>
      <c r="B348" s="5">
        <v>1.0000013650895101</v>
      </c>
      <c r="C348" s="5">
        <v>1.7383881888941399</v>
      </c>
      <c r="D348" s="5">
        <v>1.4157357034848499</v>
      </c>
      <c r="E348" s="5">
        <v>1.79991681681236</v>
      </c>
      <c r="F348" s="5">
        <v>2.2063179579796501</v>
      </c>
      <c r="G348" s="5">
        <v>2.3592043716379898</v>
      </c>
      <c r="H348" s="5">
        <v>2.5469336857224198</v>
      </c>
      <c r="I348" s="5">
        <v>2.80661414979099</v>
      </c>
      <c r="J348" s="1"/>
      <c r="K348" s="10">
        <f t="shared" si="20"/>
        <v>0.9745792954572019</v>
      </c>
      <c r="L348" s="10">
        <f t="shared" si="21"/>
        <v>1.7391966586778929</v>
      </c>
      <c r="M348" s="8">
        <f t="shared" si="22"/>
        <v>6.7501559897209518E-14</v>
      </c>
      <c r="N348" s="8">
        <f>B348^2* UnnormalizedLowerIncompleteGamma(2/2 + 1, (A348/B348)^(2)) + C348^2 *UnnormalizedUpperIncompleteGamma(2/3.6 + 1, (A348/C348)^(3.6)) - 1</f>
        <v>-1.3433698597964394E-14</v>
      </c>
      <c r="O348" s="8">
        <f t="shared" si="23"/>
        <v>-1.3433698597964394E-14</v>
      </c>
    </row>
    <row r="349" spans="1:15" x14ac:dyDescent="0.25">
      <c r="A349" s="9">
        <v>3.4799999999999902</v>
      </c>
      <c r="B349" s="5">
        <v>1.00000127317121</v>
      </c>
      <c r="C349" s="5">
        <v>1.74061288215827</v>
      </c>
      <c r="D349" s="5">
        <v>1.4157356509839101</v>
      </c>
      <c r="E349" s="5">
        <v>1.7999169101369501</v>
      </c>
      <c r="F349" s="5">
        <v>2.2063190490272202</v>
      </c>
      <c r="G349" s="5">
        <v>2.3592067424808199</v>
      </c>
      <c r="H349" s="5">
        <v>2.5469399208543999</v>
      </c>
      <c r="I349" s="5">
        <v>2.8066397687780298</v>
      </c>
      <c r="J349" s="1"/>
      <c r="K349" s="10">
        <f t="shared" si="20"/>
        <v>0.97453415415018119</v>
      </c>
      <c r="L349" s="10">
        <f t="shared" si="21"/>
        <v>1.7414856017345455</v>
      </c>
      <c r="M349" s="8">
        <f t="shared" si="22"/>
        <v>1.1723955140041653E-13</v>
      </c>
      <c r="N349" s="8">
        <f>B349^2* UnnormalizedLowerIncompleteGamma(2/2 + 1, (A349/B349)^(2)) + C349^2 *UnnormalizedUpperIncompleteGamma(2/3.6 + 1, (A349/C349)^(3.6)) - 1</f>
        <v>-1.5432100042289676E-14</v>
      </c>
      <c r="O349" s="8">
        <f t="shared" si="23"/>
        <v>-1.5432100042289676E-14</v>
      </c>
    </row>
    <row r="350" spans="1:15" x14ac:dyDescent="0.25">
      <c r="A350" s="9">
        <v>3.48999999999999</v>
      </c>
      <c r="B350" s="5">
        <v>1.00000118720673</v>
      </c>
      <c r="C350" s="5">
        <v>1.74283403209188</v>
      </c>
      <c r="D350" s="5">
        <v>1.4157356016839899</v>
      </c>
      <c r="E350" s="5">
        <v>1.79991699675126</v>
      </c>
      <c r="F350" s="5">
        <v>2.2063200660775801</v>
      </c>
      <c r="G350" s="5">
        <v>2.3592089531034901</v>
      </c>
      <c r="H350" s="5">
        <v>2.5469457354843001</v>
      </c>
      <c r="I350" s="5">
        <v>2.80666366181095</v>
      </c>
      <c r="J350" s="1"/>
      <c r="K350" s="10">
        <f t="shared" si="20"/>
        <v>0.97448978142037423</v>
      </c>
      <c r="L350" s="10">
        <f t="shared" si="21"/>
        <v>1.743772525538134</v>
      </c>
      <c r="M350" s="8">
        <f t="shared" si="22"/>
        <v>-1.4210854715202004E-14</v>
      </c>
      <c r="N350" s="8">
        <f>B350^2* UnnormalizedLowerIncompleteGamma(2/2 + 1, (A350/B350)^(2)) + C350^2 *UnnormalizedUpperIncompleteGamma(2/3.6 + 1, (A350/C350)^(3.6)) - 1</f>
        <v>-8.659739592076221E-15</v>
      </c>
      <c r="O350" s="8">
        <f t="shared" si="23"/>
        <v>-8.659739592076221E-15</v>
      </c>
    </row>
    <row r="351" spans="1:15" x14ac:dyDescent="0.25">
      <c r="A351" s="9">
        <v>3.4999999999999898</v>
      </c>
      <c r="B351" s="5">
        <v>1.0000011068269801</v>
      </c>
      <c r="C351" s="5">
        <v>1.74505165416512</v>
      </c>
      <c r="D351" s="5">
        <v>1.4157355554012301</v>
      </c>
      <c r="E351" s="5">
        <v>1.7999170771198101</v>
      </c>
      <c r="F351" s="5">
        <v>2.20632101396059</v>
      </c>
      <c r="G351" s="5">
        <v>2.35921101392357</v>
      </c>
      <c r="H351" s="5">
        <v>2.54695115689288</v>
      </c>
      <c r="I351" s="5">
        <v>2.8066859407370801</v>
      </c>
      <c r="J351" s="1"/>
      <c r="K351" s="10">
        <f t="shared" si="20"/>
        <v>0.97444616380447158</v>
      </c>
      <c r="L351" s="10">
        <f t="shared" si="21"/>
        <v>1.7460574510349598</v>
      </c>
      <c r="M351" s="8">
        <f t="shared" si="22"/>
        <v>2.5046631435543532E-13</v>
      </c>
      <c r="N351" s="8">
        <f>B351^2* UnnormalizedLowerIncompleteGamma(2/2 + 1, (A351/B351)^(2)) + C351^2 *UnnormalizedUpperIncompleteGamma(2/3.6 + 1, (A351/C351)^(3.6)) - 1</f>
        <v>-1.7541523789077473E-14</v>
      </c>
      <c r="O351" s="8">
        <f t="shared" si="23"/>
        <v>-1.7541523789077473E-14</v>
      </c>
    </row>
  </sheetData>
  <dataConsolidate/>
  <printOptions horizontalCentered="1"/>
  <pageMargins left="0.39370078740157483" right="0.39370078740157483" top="0.39370078740157483" bottom="0.39370078740157483" header="0.31496062992125984" footer="0.31496062992125984"/>
  <pageSetup paperSize="9" scale="72" fitToHeight="0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M351"/>
  <sheetViews>
    <sheetView showGridLines="0" workbookViewId="0"/>
  </sheetViews>
  <sheetFormatPr defaultColWidth="9.109375" defaultRowHeight="13.8" x14ac:dyDescent="0.25"/>
  <cols>
    <col min="1" max="9" width="14.5546875" style="3" customWidth="1"/>
    <col min="10" max="10" width="3.109375" style="3" customWidth="1"/>
    <col min="11" max="13" width="13" style="3" customWidth="1"/>
    <col min="14" max="16384" width="9.109375" style="3"/>
  </cols>
  <sheetData>
    <row r="1" spans="1:13" x14ac:dyDescent="0.25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10</v>
      </c>
      <c r="I1" s="4" t="s">
        <v>7</v>
      </c>
      <c r="J1" s="2"/>
      <c r="K1" s="7" t="s">
        <v>8</v>
      </c>
      <c r="L1" s="7" t="s">
        <v>9</v>
      </c>
      <c r="M1" s="7" t="s">
        <v>12</v>
      </c>
    </row>
    <row r="2" spans="1:13" x14ac:dyDescent="0.25">
      <c r="A2" s="9">
        <v>0.05</v>
      </c>
      <c r="B2" s="5">
        <v>12.193</v>
      </c>
      <c r="C2" s="5">
        <v>1.06</v>
      </c>
      <c r="D2" s="5">
        <v>1.2789999999999999</v>
      </c>
      <c r="E2" s="5">
        <v>1.466</v>
      </c>
      <c r="F2" s="5">
        <v>1.548</v>
      </c>
      <c r="G2" s="5">
        <v>1.62</v>
      </c>
      <c r="H2" s="6" t="s">
        <v>11</v>
      </c>
      <c r="I2" s="5">
        <v>1.8129999999999999</v>
      </c>
      <c r="J2" s="1"/>
      <c r="K2" s="8">
        <f>(A2/B2)^2-(A2/C2)^3.6</f>
        <v>2.0430168857935114E-8</v>
      </c>
      <c r="L2" s="8">
        <f>B2^2* UnnormalizedLowerIncompleteGamma(2/2 + 1, (A2/B2)^(2)) + C2^2 *UnnormalizedUpperIncompleteGamma(2/3.6 + 1, (A2/C2)^(3.6)) - 1</f>
        <v>-7.9743338948012887E-4</v>
      </c>
      <c r="M2" s="8">
        <f>CalculateF1_ForCell(A2,B2,C2)</f>
        <v>-7.9743338948012887E-4</v>
      </c>
    </row>
    <row r="3" spans="1:13" x14ac:dyDescent="0.25">
      <c r="A3" s="9">
        <v>0.1</v>
      </c>
      <c r="B3" s="5">
        <v>7.0030000000000001</v>
      </c>
      <c r="C3" s="5">
        <v>1.06</v>
      </c>
      <c r="D3" s="5">
        <v>1.2789999999999999</v>
      </c>
      <c r="E3" s="5">
        <v>1.466</v>
      </c>
      <c r="F3" s="5">
        <v>1.548</v>
      </c>
      <c r="G3" s="5">
        <v>1.62</v>
      </c>
      <c r="H3" s="6" t="s">
        <v>11</v>
      </c>
      <c r="I3" s="5">
        <v>1.8129999999999999</v>
      </c>
      <c r="J3" s="1"/>
      <c r="K3" s="8">
        <f t="shared" ref="K3:K66" si="0">(A3/B3)^2-(A3/C3)^3.6</f>
        <v>2.5003222880093292E-7</v>
      </c>
      <c r="L3" s="8">
        <f>B3^2* UnnormalizedLowerIncompleteGamma(2/2 + 1, (A3/B3)^(2)) + C3^2 *UnnormalizedUpperIncompleteGamma(2/3.6 + 1, (A3/C3)^(3.6)) - 1</f>
        <v>-7.9771708109444006E-4</v>
      </c>
      <c r="M3" s="8">
        <f t="shared" ref="M3:M66" si="1">CalculateF1_ForCell(A3,B3,C3)</f>
        <v>-7.9771708109444006E-4</v>
      </c>
    </row>
    <row r="4" spans="1:13" x14ac:dyDescent="0.25">
      <c r="A4" s="9">
        <v>0.15</v>
      </c>
      <c r="B4" s="5">
        <v>5.0629999999999997</v>
      </c>
      <c r="C4" s="5">
        <v>1.06</v>
      </c>
      <c r="D4" s="5">
        <v>1.2789999999999999</v>
      </c>
      <c r="E4" s="5">
        <v>1.466</v>
      </c>
      <c r="F4" s="5">
        <v>1.548</v>
      </c>
      <c r="G4" s="5">
        <v>1.62</v>
      </c>
      <c r="H4" s="6" t="s">
        <v>11</v>
      </c>
      <c r="I4" s="5">
        <v>1.8129999999999999</v>
      </c>
      <c r="J4" s="1"/>
      <c r="K4" s="8">
        <f t="shared" si="0"/>
        <v>1.0891794532810273E-6</v>
      </c>
      <c r="L4" s="8">
        <f>B4^2* UnnormalizedLowerIncompleteGamma(2/2 + 1, (A4/B4)^(2)) + C4^2 *UnnormalizedUpperIncompleteGamma(2/3.6 + 1, (A4/C4)^(3.6)) - 1</f>
        <v>-8.0023198680001517E-4</v>
      </c>
      <c r="M4" s="8">
        <f t="shared" si="1"/>
        <v>-8.0023198680001517E-4</v>
      </c>
    </row>
    <row r="5" spans="1:13" x14ac:dyDescent="0.25">
      <c r="A5" s="9">
        <v>0.2</v>
      </c>
      <c r="B5" s="5">
        <v>4.0220000000000002</v>
      </c>
      <c r="C5" s="5">
        <v>1.06</v>
      </c>
      <c r="D5" s="5">
        <v>1.2789999999999999</v>
      </c>
      <c r="E5" s="5">
        <v>1.466</v>
      </c>
      <c r="F5" s="5">
        <v>1.548</v>
      </c>
      <c r="G5" s="5">
        <v>1.62</v>
      </c>
      <c r="H5" s="6" t="s">
        <v>11</v>
      </c>
      <c r="I5" s="5">
        <v>1.8129999999999999</v>
      </c>
      <c r="J5" s="1"/>
      <c r="K5" s="8">
        <f t="shared" si="0"/>
        <v>3.2375108776185393E-6</v>
      </c>
      <c r="L5" s="8">
        <f>B5^2* UnnormalizedLowerIncompleteGamma(2/2 + 1, (A5/B5)^(2)) + C5^2 *UnnormalizedUpperIncompleteGamma(2/3.6 + 1, (A5/C5)^(3.6)) - 1</f>
        <v>-8.1146010613275532E-4</v>
      </c>
      <c r="M5" s="8">
        <f t="shared" si="1"/>
        <v>-8.1146010613275532E-4</v>
      </c>
    </row>
    <row r="6" spans="1:13" x14ac:dyDescent="0.25">
      <c r="A6" s="9">
        <v>0.25</v>
      </c>
      <c r="B6" s="5">
        <v>3.3650000000000002</v>
      </c>
      <c r="C6" s="5">
        <v>1.06</v>
      </c>
      <c r="D6" s="5">
        <v>1.2789999999999999</v>
      </c>
      <c r="E6" s="5">
        <v>1.466</v>
      </c>
      <c r="F6" s="5">
        <v>1.548</v>
      </c>
      <c r="G6" s="5">
        <v>1.62</v>
      </c>
      <c r="H6" s="6" t="s">
        <v>11</v>
      </c>
      <c r="I6" s="5">
        <v>1.8129999999999999</v>
      </c>
      <c r="J6" s="1"/>
      <c r="K6" s="8">
        <f t="shared" si="0"/>
        <v>5.423795671002235E-6</v>
      </c>
      <c r="L6" s="8">
        <f>B6^2* UnnormalizedLowerIncompleteGamma(2/2 + 1, (A6/B6)^(2)) + C6^2 *UnnormalizedUpperIncompleteGamma(2/3.6 + 1, (A6/C6)^(3.6)) - 1</f>
        <v>-8.4638313540175147E-4</v>
      </c>
      <c r="M6" s="8">
        <f t="shared" si="1"/>
        <v>-8.4638313540175147E-4</v>
      </c>
    </row>
    <row r="7" spans="1:13" x14ac:dyDescent="0.25">
      <c r="A7" s="9">
        <v>0.3</v>
      </c>
      <c r="B7" s="5">
        <v>2.9079999999999999</v>
      </c>
      <c r="C7" s="5">
        <v>1.06</v>
      </c>
      <c r="D7" s="5">
        <v>1.2789999999999999</v>
      </c>
      <c r="E7" s="5">
        <v>1.466</v>
      </c>
      <c r="F7" s="5">
        <v>1.548</v>
      </c>
      <c r="G7" s="5">
        <v>1.62</v>
      </c>
      <c r="H7" s="6" t="s">
        <v>11</v>
      </c>
      <c r="I7" s="5">
        <v>1.8129999999999999</v>
      </c>
      <c r="J7" s="1"/>
      <c r="K7" s="8">
        <f t="shared" si="0"/>
        <v>1.2693869050676293E-5</v>
      </c>
      <c r="L7" s="8">
        <f>B7^2* UnnormalizedLowerIncompleteGamma(2/2 + 1, (A7/B7)^(2)) + C7^2 *UnnormalizedUpperIncompleteGamma(2/3.6 + 1, (A7/C7)^(3.6)) - 1</f>
        <v>-9.3294847714286977E-4</v>
      </c>
      <c r="M7" s="8">
        <f t="shared" si="1"/>
        <v>-9.3294847714286977E-4</v>
      </c>
    </row>
    <row r="8" spans="1:13" x14ac:dyDescent="0.25">
      <c r="A8" s="9">
        <v>0.35</v>
      </c>
      <c r="B8" s="5">
        <v>2.5710000000000002</v>
      </c>
      <c r="C8" s="5">
        <v>1.06</v>
      </c>
      <c r="D8" s="5">
        <v>1.2789999999999999</v>
      </c>
      <c r="E8" s="5">
        <v>1.466</v>
      </c>
      <c r="F8" s="5">
        <v>1.548</v>
      </c>
      <c r="G8" s="5">
        <v>1.62</v>
      </c>
      <c r="H8" s="6" t="s">
        <v>11</v>
      </c>
      <c r="I8" s="5">
        <v>1.8129999999999999</v>
      </c>
      <c r="J8" s="1"/>
      <c r="K8" s="8">
        <f t="shared" si="0"/>
        <v>1.6553385788643099E-5</v>
      </c>
      <c r="L8" s="8">
        <f>B8^2* UnnormalizedLowerIncompleteGamma(2/2 + 1, (A8/B8)^(2)) + C8^2 *UnnormalizedUpperIncompleteGamma(2/3.6 + 1, (A8/C8)^(3.6)) - 1</f>
        <v>-1.118043286094994E-3</v>
      </c>
      <c r="M8" s="8">
        <f t="shared" si="1"/>
        <v>-1.118043286094994E-3</v>
      </c>
    </row>
    <row r="9" spans="1:13" x14ac:dyDescent="0.25">
      <c r="A9" s="9">
        <v>0.4</v>
      </c>
      <c r="B9" s="5">
        <v>2.3109999999999999</v>
      </c>
      <c r="C9" s="5">
        <v>1.06</v>
      </c>
      <c r="D9" s="5">
        <v>1.2789999999999999</v>
      </c>
      <c r="E9" s="5">
        <v>1.466</v>
      </c>
      <c r="F9" s="5">
        <v>1.548</v>
      </c>
      <c r="G9" s="5">
        <v>1.62</v>
      </c>
      <c r="H9" s="6" t="s">
        <v>11</v>
      </c>
      <c r="I9" s="5">
        <v>1.8129999999999999</v>
      </c>
      <c r="J9" s="1"/>
      <c r="K9" s="8">
        <f t="shared" si="0"/>
        <v>1.4154373935329478E-5</v>
      </c>
      <c r="L9" s="8">
        <f>B9^2* UnnormalizedLowerIncompleteGamma(2/2 + 1, (A9/B9)^(2)) + C9^2 *UnnormalizedUpperIncompleteGamma(2/3.6 + 1, (A9/C9)^(3.6)) - 1</f>
        <v>-1.4725315876726874E-3</v>
      </c>
      <c r="M9" s="8">
        <f t="shared" si="1"/>
        <v>-1.4725315876726874E-3</v>
      </c>
    </row>
    <row r="10" spans="1:13" x14ac:dyDescent="0.25">
      <c r="A10" s="9">
        <v>0.45</v>
      </c>
      <c r="B10" s="5">
        <v>2.1040000000000001</v>
      </c>
      <c r="C10" s="5">
        <v>1.06</v>
      </c>
      <c r="D10" s="5">
        <v>1.2789999999999999</v>
      </c>
      <c r="E10" s="5">
        <v>1.466</v>
      </c>
      <c r="F10" s="5">
        <v>1.5489999999999999</v>
      </c>
      <c r="G10" s="5">
        <v>1.62</v>
      </c>
      <c r="H10" s="6" t="s">
        <v>11</v>
      </c>
      <c r="I10" s="5">
        <v>1.8129999999999999</v>
      </c>
      <c r="J10" s="1"/>
      <c r="K10" s="8">
        <f t="shared" si="0"/>
        <v>-1.3734691839961677E-5</v>
      </c>
      <c r="L10" s="8">
        <f>B10^2* UnnormalizedLowerIncompleteGamma(2/2 + 1, (A10/B10)^(2)) + C10^2 *UnnormalizedUpperIncompleteGamma(2/3.6 + 1, (A10/C10)^(3.6)) - 1</f>
        <v>-2.0981607910370847E-3</v>
      </c>
      <c r="M10" s="8">
        <f t="shared" si="1"/>
        <v>-2.0981607910370847E-3</v>
      </c>
    </row>
    <row r="11" spans="1:13" x14ac:dyDescent="0.25">
      <c r="A11" s="9">
        <v>0.5</v>
      </c>
      <c r="B11" s="5">
        <v>1.9359999999999999</v>
      </c>
      <c r="C11" s="5">
        <v>1.0609999999999999</v>
      </c>
      <c r="D11" s="5">
        <v>1.28</v>
      </c>
      <c r="E11" s="5">
        <v>1.4670000000000001</v>
      </c>
      <c r="F11" s="5">
        <v>1.5489999999999999</v>
      </c>
      <c r="G11" s="5">
        <v>1.621</v>
      </c>
      <c r="H11" s="6" t="s">
        <v>11</v>
      </c>
      <c r="I11" s="5">
        <v>1.8140000000000001</v>
      </c>
      <c r="J11" s="1"/>
      <c r="K11" s="8">
        <f t="shared" si="0"/>
        <v>6.3349135077703234E-5</v>
      </c>
      <c r="L11" s="8">
        <f>B11^2* UnnormalizedLowerIncompleteGamma(2/2 + 1, (A11/B11)^(2)) + C11^2 *UnnormalizedUpperIncompleteGamma(2/3.6 + 1, (A11/C11)^(3.6)) - 1</f>
        <v>-1.2206938937171508E-3</v>
      </c>
      <c r="M11" s="8">
        <f t="shared" si="1"/>
        <v>-1.2206938937171508E-3</v>
      </c>
    </row>
    <row r="12" spans="1:13" x14ac:dyDescent="0.25">
      <c r="A12" s="9">
        <v>0.55000000000000004</v>
      </c>
      <c r="B12" s="5">
        <v>1.796</v>
      </c>
      <c r="C12" s="5">
        <v>1.0609999999999999</v>
      </c>
      <c r="D12" s="5">
        <v>1.2809999999999999</v>
      </c>
      <c r="E12" s="5">
        <v>1.468</v>
      </c>
      <c r="F12" s="5">
        <v>1.55</v>
      </c>
      <c r="G12" s="5">
        <v>1.6220000000000001</v>
      </c>
      <c r="H12" s="6" t="s">
        <v>11</v>
      </c>
      <c r="I12" s="5">
        <v>1.8149999999999999</v>
      </c>
      <c r="J12" s="1"/>
      <c r="K12" s="8">
        <f t="shared" si="0"/>
        <v>-1.3345490495961232E-4</v>
      </c>
      <c r="L12" s="8">
        <f>B12^2* UnnormalizedLowerIncompleteGamma(2/2 + 1, (A12/B12)^(2)) + C12^2 *UnnormalizedUpperIncompleteGamma(2/3.6 + 1, (A12/C12)^(3.6)) - 1</f>
        <v>-2.8366376278564642E-3</v>
      </c>
      <c r="M12" s="8">
        <f t="shared" si="1"/>
        <v>-2.8366376278564642E-3</v>
      </c>
    </row>
    <row r="13" spans="1:13" x14ac:dyDescent="0.25">
      <c r="A13" s="9">
        <v>0.6</v>
      </c>
      <c r="B13" s="5">
        <v>1.6779999999999999</v>
      </c>
      <c r="C13" s="5">
        <v>1.0620000000000001</v>
      </c>
      <c r="D13" s="5">
        <v>1.282</v>
      </c>
      <c r="E13" s="5">
        <v>1.4690000000000001</v>
      </c>
      <c r="F13" s="5">
        <v>1.552</v>
      </c>
      <c r="G13" s="5">
        <v>1.6240000000000001</v>
      </c>
      <c r="H13" s="6" t="s">
        <v>11</v>
      </c>
      <c r="I13" s="5">
        <v>1.8169999999999999</v>
      </c>
      <c r="J13" s="1"/>
      <c r="K13" s="8">
        <f t="shared" si="0"/>
        <v>-1.7017290220355807E-4</v>
      </c>
      <c r="L13" s="8">
        <f>B13^2* UnnormalizedLowerIncompleteGamma(2/2 + 1, (A13/B13)^(2)) + C13^2 *UnnormalizedUpperIncompleteGamma(2/3.6 + 1, (A13/C13)^(3.6)) - 1</f>
        <v>-3.3026577249375411E-3</v>
      </c>
      <c r="M13" s="8">
        <f t="shared" si="1"/>
        <v>-3.3026577249375411E-3</v>
      </c>
    </row>
    <row r="14" spans="1:13" x14ac:dyDescent="0.25">
      <c r="A14" s="9">
        <v>0.65</v>
      </c>
      <c r="B14" s="5">
        <v>1.5780000000000001</v>
      </c>
      <c r="C14" s="5">
        <v>1.0640000000000001</v>
      </c>
      <c r="D14" s="5">
        <v>1.284</v>
      </c>
      <c r="E14" s="5">
        <v>1.4710000000000001</v>
      </c>
      <c r="F14" s="5">
        <v>1.554</v>
      </c>
      <c r="G14" s="5">
        <v>1.6259999999999999</v>
      </c>
      <c r="H14" s="6" t="s">
        <v>11</v>
      </c>
      <c r="I14" s="5">
        <v>1.82</v>
      </c>
      <c r="J14" s="1"/>
      <c r="K14" s="8">
        <f t="shared" si="0"/>
        <v>4.4724691385999993E-5</v>
      </c>
      <c r="L14" s="8">
        <f>B14^2* UnnormalizedLowerIncompleteGamma(2/2 + 1, (A14/B14)^(2)) + C14^2 *UnnormalizedUpperIncompleteGamma(2/3.6 + 1, (A14/C14)^(3.6)) - 1</f>
        <v>-2.7991891908810684E-3</v>
      </c>
      <c r="M14" s="8">
        <f t="shared" si="1"/>
        <v>-2.7991891908810684E-3</v>
      </c>
    </row>
    <row r="15" spans="1:13" x14ac:dyDescent="0.25">
      <c r="A15" s="9">
        <v>0.7</v>
      </c>
      <c r="B15" s="5">
        <v>1.492</v>
      </c>
      <c r="C15" s="5">
        <v>1.0660000000000001</v>
      </c>
      <c r="D15" s="5">
        <v>1.286</v>
      </c>
      <c r="E15" s="5">
        <v>1.474</v>
      </c>
      <c r="F15" s="5">
        <v>1.5569999999999999</v>
      </c>
      <c r="G15" s="5">
        <v>1.629</v>
      </c>
      <c r="H15" s="6" t="s">
        <v>11</v>
      </c>
      <c r="I15" s="5">
        <v>1.823</v>
      </c>
      <c r="J15" s="1"/>
      <c r="K15" s="8">
        <f t="shared" si="0"/>
        <v>1.1726588088761813E-4</v>
      </c>
      <c r="L15" s="8">
        <f>B15^2* UnnormalizedLowerIncompleteGamma(2/2 + 1, (A15/B15)^(2)) + C15^2 *UnnormalizedUpperIncompleteGamma(2/3.6 + 1, (A15/C15)^(3.6)) - 1</f>
        <v>-3.5356338010664734E-3</v>
      </c>
      <c r="M15" s="8">
        <f t="shared" si="1"/>
        <v>-3.5356338010664734E-3</v>
      </c>
    </row>
    <row r="16" spans="1:13" x14ac:dyDescent="0.25">
      <c r="A16" s="9">
        <v>0.75</v>
      </c>
      <c r="B16" s="5">
        <v>1.419</v>
      </c>
      <c r="C16" s="5">
        <v>1.069</v>
      </c>
      <c r="D16" s="5">
        <v>1.29</v>
      </c>
      <c r="E16" s="5">
        <v>1.478</v>
      </c>
      <c r="F16" s="5">
        <v>1.5609999999999999</v>
      </c>
      <c r="G16" s="5">
        <v>1.6339999999999999</v>
      </c>
      <c r="H16" s="6" t="s">
        <v>11</v>
      </c>
      <c r="I16" s="5">
        <v>1.8280000000000001</v>
      </c>
      <c r="J16" s="1"/>
      <c r="K16" s="8">
        <f t="shared" si="0"/>
        <v>1.6521661355228812E-4</v>
      </c>
      <c r="L16" s="8">
        <f>B16^2* UnnormalizedLowerIncompleteGamma(2/2 + 1, (A16/B16)^(2)) + C16^2 *UnnormalizedUpperIncompleteGamma(2/3.6 + 1, (A16/C16)^(3.6)) - 1</f>
        <v>-3.8000342346327098E-3</v>
      </c>
      <c r="M16" s="8">
        <f t="shared" si="1"/>
        <v>-3.8000342346327098E-3</v>
      </c>
    </row>
    <row r="17" spans="1:13" x14ac:dyDescent="0.25">
      <c r="A17" s="9">
        <v>0.8</v>
      </c>
      <c r="B17" s="5">
        <v>1.3560000000000001</v>
      </c>
      <c r="C17" s="5">
        <v>1.073</v>
      </c>
      <c r="D17" s="5">
        <v>1.294</v>
      </c>
      <c r="E17" s="5">
        <v>1.4830000000000001</v>
      </c>
      <c r="F17" s="5">
        <v>1.5669999999999999</v>
      </c>
      <c r="G17" s="5">
        <v>1.639</v>
      </c>
      <c r="H17" s="6" t="s">
        <v>11</v>
      </c>
      <c r="I17" s="5">
        <v>1.835</v>
      </c>
      <c r="J17" s="1"/>
      <c r="K17" s="8">
        <f t="shared" si="0"/>
        <v>5.5707487707895575E-4</v>
      </c>
      <c r="L17" s="8">
        <f>B17^2* UnnormalizedLowerIncompleteGamma(2/2 + 1, (A17/B17)^(2)) + C17^2 *UnnormalizedUpperIncompleteGamma(2/3.6 + 1, (A17/C17)^(3.6)) - 1</f>
        <v>-3.7112039549572762E-3</v>
      </c>
      <c r="M17" s="8">
        <f t="shared" si="1"/>
        <v>-3.7112039549571652E-3</v>
      </c>
    </row>
    <row r="18" spans="1:13" x14ac:dyDescent="0.25">
      <c r="A18" s="9">
        <v>0.85</v>
      </c>
      <c r="B18" s="5">
        <v>1.302</v>
      </c>
      <c r="C18" s="5">
        <v>1.077</v>
      </c>
      <c r="D18" s="5">
        <v>1.3</v>
      </c>
      <c r="E18" s="5">
        <v>1.49</v>
      </c>
      <c r="F18" s="5">
        <v>1.573</v>
      </c>
      <c r="G18" s="5">
        <v>1.6459999999999999</v>
      </c>
      <c r="H18" s="6" t="s">
        <v>11</v>
      </c>
      <c r="I18" s="5">
        <v>1.843</v>
      </c>
      <c r="J18" s="1"/>
      <c r="K18" s="8">
        <f t="shared" si="0"/>
        <v>-3.0994769990644322E-4</v>
      </c>
      <c r="L18" s="8">
        <f>B18^2* UnnormalizedLowerIncompleteGamma(2/2 + 1, (A18/B18)^(2)) + C18^2 *UnnormalizedUpperIncompleteGamma(2/3.6 + 1, (A18/C18)^(3.6)) - 1</f>
        <v>-5.7584304223081695E-3</v>
      </c>
      <c r="M18" s="8">
        <f t="shared" si="1"/>
        <v>-5.7584304223081695E-3</v>
      </c>
    </row>
    <row r="19" spans="1:13" x14ac:dyDescent="0.25">
      <c r="A19" s="9">
        <v>0.9</v>
      </c>
      <c r="B19" s="5">
        <v>1.256</v>
      </c>
      <c r="C19" s="5">
        <v>1.083</v>
      </c>
      <c r="D19" s="5">
        <v>1.3069999999999999</v>
      </c>
      <c r="E19" s="5">
        <v>1.498</v>
      </c>
      <c r="F19" s="5">
        <v>1.5820000000000001</v>
      </c>
      <c r="G19" s="5">
        <v>1.655</v>
      </c>
      <c r="H19" s="6" t="s">
        <v>11</v>
      </c>
      <c r="I19" s="5">
        <v>1.8520000000000001</v>
      </c>
      <c r="J19" s="1"/>
      <c r="K19" s="8">
        <f t="shared" si="0"/>
        <v>-1.2397739701830446E-4</v>
      </c>
      <c r="L19" s="8">
        <f>B19^2* UnnormalizedLowerIncompleteGamma(2/2 + 1, (A19/B19)^(2)) + C19^2 *UnnormalizedUpperIncompleteGamma(2/3.6 + 1, (A19/C19)^(3.6)) - 1</f>
        <v>-5.5790079600134268E-3</v>
      </c>
      <c r="M19" s="8">
        <f t="shared" si="1"/>
        <v>-5.5790079600134268E-3</v>
      </c>
    </row>
    <row r="20" spans="1:13" x14ac:dyDescent="0.25">
      <c r="A20" s="9">
        <v>0.95</v>
      </c>
      <c r="B20" s="5">
        <v>1.216</v>
      </c>
      <c r="C20" s="5">
        <v>1.0900000000000001</v>
      </c>
      <c r="D20" s="5">
        <v>1.3149999999999999</v>
      </c>
      <c r="E20" s="5">
        <v>1.5069999999999999</v>
      </c>
      <c r="F20" s="5">
        <v>1.591</v>
      </c>
      <c r="G20" s="5">
        <v>1.665</v>
      </c>
      <c r="H20" s="6" t="s">
        <v>11</v>
      </c>
      <c r="I20" s="5">
        <v>1.8640000000000001</v>
      </c>
      <c r="J20" s="1"/>
      <c r="K20" s="8">
        <f t="shared" si="0"/>
        <v>7.1699211162801202E-4</v>
      </c>
      <c r="L20" s="8">
        <f>B20^2* UnnormalizedLowerIncompleteGamma(2/2 + 1, (A20/B20)^(2)) + C20^2 *UnnormalizedUpperIncompleteGamma(2/3.6 + 1, (A20/C20)^(3.6)) - 1</f>
        <v>-5.2877536374266176E-3</v>
      </c>
      <c r="M20" s="8">
        <f t="shared" si="1"/>
        <v>-5.2877536374266176E-3</v>
      </c>
    </row>
    <row r="21" spans="1:13" x14ac:dyDescent="0.25">
      <c r="A21" s="9">
        <v>1</v>
      </c>
      <c r="B21" s="5">
        <v>1.1819999999999999</v>
      </c>
      <c r="C21" s="5">
        <v>1.097</v>
      </c>
      <c r="D21" s="5">
        <v>1.3240000000000001</v>
      </c>
      <c r="E21" s="5">
        <v>1.518</v>
      </c>
      <c r="F21" s="5">
        <v>1.603</v>
      </c>
      <c r="G21" s="5">
        <v>1.677</v>
      </c>
      <c r="H21" s="6" t="s">
        <v>11</v>
      </c>
      <c r="I21" s="5">
        <v>1.877</v>
      </c>
      <c r="J21" s="1"/>
      <c r="K21" s="8">
        <f t="shared" si="0"/>
        <v>-8.0982424712594536E-4</v>
      </c>
      <c r="L21" s="8">
        <f>B21^2* UnnormalizedLowerIncompleteGamma(2/2 + 1, (A21/B21)^(2)) + C21^2 *UnnormalizedUpperIncompleteGamma(2/3.6 + 1, (A21/C21)^(3.6)) - 1</f>
        <v>-7.5520095954018096E-3</v>
      </c>
      <c r="M21" s="8">
        <f t="shared" si="1"/>
        <v>-7.5520095954018096E-3</v>
      </c>
    </row>
    <row r="22" spans="1:13" x14ac:dyDescent="0.25">
      <c r="A22" s="9">
        <v>1.05</v>
      </c>
      <c r="B22" s="5">
        <v>1.153</v>
      </c>
      <c r="C22" s="5">
        <v>1.1060000000000001</v>
      </c>
      <c r="D22" s="5">
        <v>1.335</v>
      </c>
      <c r="E22" s="5">
        <v>1.53</v>
      </c>
      <c r="F22" s="5">
        <v>1.6160000000000001</v>
      </c>
      <c r="G22" s="5">
        <v>1.69</v>
      </c>
      <c r="H22" s="6" t="s">
        <v>11</v>
      </c>
      <c r="I22" s="5">
        <v>1.8919999999999999</v>
      </c>
      <c r="J22" s="1"/>
      <c r="K22" s="8">
        <f t="shared" si="0"/>
        <v>-8.2184370142734942E-5</v>
      </c>
      <c r="L22" s="8">
        <f>B22^2* UnnormalizedLowerIncompleteGamma(2/2 + 1, (A22/B22)^(2)) + C22^2 *UnnormalizedUpperIncompleteGamma(2/3.6 + 1, (A22/C22)^(3.6)) - 1</f>
        <v>-7.2158382405613786E-3</v>
      </c>
      <c r="M22" s="8">
        <f t="shared" si="1"/>
        <v>-7.2158382405613786E-3</v>
      </c>
    </row>
    <row r="23" spans="1:13" x14ac:dyDescent="0.25">
      <c r="A23" s="9">
        <v>1.1000000000000001</v>
      </c>
      <c r="B23" s="5">
        <v>1.1279999999999999</v>
      </c>
      <c r="C23" s="5">
        <v>1.1160000000000001</v>
      </c>
      <c r="D23" s="5">
        <v>1.3460000000000001</v>
      </c>
      <c r="E23" s="5">
        <v>1.5429999999999999</v>
      </c>
      <c r="F23" s="5">
        <v>1.63</v>
      </c>
      <c r="G23" s="5">
        <v>1.7050000000000001</v>
      </c>
      <c r="H23" s="6" t="s">
        <v>11</v>
      </c>
      <c r="I23" s="5">
        <v>1.909</v>
      </c>
      <c r="J23" s="1"/>
      <c r="K23" s="8">
        <f t="shared" si="0"/>
        <v>1.6290580825838452E-3</v>
      </c>
      <c r="L23" s="8">
        <f>B23^2* UnnormalizedLowerIncompleteGamma(2/2 + 1, (A23/B23)^(2)) + C23^2 *UnnormalizedUpperIncompleteGamma(2/3.6 + 1, (A23/C23)^(3.6)) - 1</f>
        <v>-6.5241337752670603E-3</v>
      </c>
      <c r="M23" s="8">
        <f t="shared" si="1"/>
        <v>-6.5241337752670603E-3</v>
      </c>
    </row>
    <row r="24" spans="1:13" x14ac:dyDescent="0.25">
      <c r="A24" s="9">
        <v>1.1499999999999999</v>
      </c>
      <c r="B24" s="5">
        <v>1.1080000000000001</v>
      </c>
      <c r="C24" s="5">
        <v>1.1259999999999999</v>
      </c>
      <c r="D24" s="5">
        <v>1.359</v>
      </c>
      <c r="E24" s="5">
        <v>1.5580000000000001</v>
      </c>
      <c r="F24" s="5">
        <v>1.645</v>
      </c>
      <c r="G24" s="5">
        <v>1.7210000000000001</v>
      </c>
      <c r="H24" s="6" t="s">
        <v>11</v>
      </c>
      <c r="I24" s="5">
        <v>1.927</v>
      </c>
      <c r="J24" s="1"/>
      <c r="K24" s="8">
        <f t="shared" si="0"/>
        <v>-1.6330292643540467E-3</v>
      </c>
      <c r="L24" s="8">
        <f>B24^2* UnnormalizedLowerIncompleteGamma(2/2 + 1, (A24/B24)^(2)) + C24^2 *UnnormalizedUpperIncompleteGamma(2/3.6 + 1, (A24/C24)^(3.6)) - 1</f>
        <v>-8.3269993521138952E-3</v>
      </c>
      <c r="M24" s="8">
        <f t="shared" si="1"/>
        <v>-8.3269993521138952E-3</v>
      </c>
    </row>
    <row r="25" spans="1:13" x14ac:dyDescent="0.25">
      <c r="A25" s="9">
        <v>1.2</v>
      </c>
      <c r="B25" s="5">
        <v>1.0900000000000001</v>
      </c>
      <c r="C25" s="5">
        <v>1.1379999999999999</v>
      </c>
      <c r="D25" s="5">
        <v>1.371</v>
      </c>
      <c r="E25" s="5">
        <v>1.573</v>
      </c>
      <c r="F25" s="5">
        <v>1.6619999999999999</v>
      </c>
      <c r="G25" s="5">
        <v>1.7390000000000001</v>
      </c>
      <c r="H25" s="6" t="s">
        <v>11</v>
      </c>
      <c r="I25" s="5">
        <v>1.946</v>
      </c>
      <c r="J25" s="1"/>
      <c r="K25" s="8">
        <f t="shared" si="0"/>
        <v>1.5873413179576801E-3</v>
      </c>
      <c r="L25" s="8">
        <f>B25^2* UnnormalizedLowerIncompleteGamma(2/2 + 1, (A25/B25)^(2)) + C25^2 *UnnormalizedUpperIncompleteGamma(2/3.6 + 1, (A25/C25)^(3.6)) - 1</f>
        <v>-6.4936706636128383E-3</v>
      </c>
      <c r="M25" s="8">
        <f t="shared" si="1"/>
        <v>-6.4936706636128383E-3</v>
      </c>
    </row>
    <row r="26" spans="1:13" x14ac:dyDescent="0.25">
      <c r="A26" s="9">
        <v>1.25</v>
      </c>
      <c r="B26" s="5">
        <v>1.075</v>
      </c>
      <c r="C26" s="5">
        <v>1.1499999999999999</v>
      </c>
      <c r="D26" s="5">
        <v>1.381</v>
      </c>
      <c r="E26" s="5">
        <v>1.59</v>
      </c>
      <c r="F26" s="5">
        <v>1.679</v>
      </c>
      <c r="G26" s="5">
        <v>1.7569999999999999</v>
      </c>
      <c r="H26" s="6" t="s">
        <v>11</v>
      </c>
      <c r="I26" s="5">
        <v>1.9670000000000001</v>
      </c>
      <c r="J26" s="1"/>
      <c r="K26" s="8">
        <f t="shared" si="0"/>
        <v>1.9887837299474853E-3</v>
      </c>
      <c r="L26" s="8">
        <f>B26^2* UnnormalizedLowerIncompleteGamma(2/2 + 1, (A26/B26)^(2)) + C26^2 *UnnormalizedUpperIncompleteGamma(2/3.6 + 1, (A26/C26)^(3.6)) - 1</f>
        <v>-6.4763450036706693E-3</v>
      </c>
      <c r="M26" s="8">
        <f t="shared" si="1"/>
        <v>-6.4763450036706693E-3</v>
      </c>
    </row>
    <row r="27" spans="1:13" x14ac:dyDescent="0.25">
      <c r="A27" s="9">
        <v>1.3</v>
      </c>
      <c r="B27" s="5">
        <v>1.0629999999999999</v>
      </c>
      <c r="C27" s="5">
        <v>1.1619999999999999</v>
      </c>
      <c r="D27" s="5">
        <v>1.389</v>
      </c>
      <c r="E27" s="5">
        <v>1.607</v>
      </c>
      <c r="F27" s="5">
        <v>1.698</v>
      </c>
      <c r="G27" s="5">
        <v>1.776</v>
      </c>
      <c r="H27" s="6" t="s">
        <v>11</v>
      </c>
      <c r="I27" s="5">
        <v>1.988</v>
      </c>
      <c r="J27" s="1"/>
      <c r="K27" s="8">
        <f t="shared" si="0"/>
        <v>-2.1843730179291754E-3</v>
      </c>
      <c r="L27" s="8">
        <f>B27^2* UnnormalizedLowerIncompleteGamma(2/2 + 1, (A27/B27)^(2)) + C27^2 *UnnormalizedUpperIncompleteGamma(2/3.6 + 1, (A27/C27)^(3.6)) - 1</f>
        <v>-8.0246730847322034E-3</v>
      </c>
      <c r="M27" s="8">
        <f t="shared" si="1"/>
        <v>-8.0246730847322034E-3</v>
      </c>
    </row>
    <row r="28" spans="1:13" x14ac:dyDescent="0.25">
      <c r="A28" s="9">
        <v>1.35</v>
      </c>
      <c r="B28" s="5">
        <v>1.052</v>
      </c>
      <c r="C28" s="5">
        <v>1.175</v>
      </c>
      <c r="D28" s="5">
        <v>1.395</v>
      </c>
      <c r="E28" s="5">
        <v>1.6259999999999999</v>
      </c>
      <c r="F28" s="5">
        <v>1.7170000000000001</v>
      </c>
      <c r="G28" s="5">
        <v>1.796</v>
      </c>
      <c r="H28" s="6" t="s">
        <v>11</v>
      </c>
      <c r="I28" s="5">
        <v>2.0110000000000001</v>
      </c>
      <c r="J28" s="1"/>
      <c r="K28" s="8">
        <f t="shared" si="0"/>
        <v>-1.6282286258360035E-3</v>
      </c>
      <c r="L28" s="8">
        <f>B28^2* UnnormalizedLowerIncompleteGamma(2/2 + 1, (A28/B28)^(2)) + C28^2 *UnnormalizedUpperIncompleteGamma(2/3.6 + 1, (A28/C28)^(3.6)) - 1</f>
        <v>-8.0355319091900412E-3</v>
      </c>
      <c r="M28" s="8">
        <f t="shared" si="1"/>
        <v>-8.0355319091899302E-3</v>
      </c>
    </row>
    <row r="29" spans="1:13" x14ac:dyDescent="0.25">
      <c r="A29" s="9">
        <v>1.4</v>
      </c>
      <c r="B29" s="5">
        <v>1.0429999999999999</v>
      </c>
      <c r="C29" s="5">
        <v>1.1890000000000001</v>
      </c>
      <c r="D29" s="5">
        <v>1.399</v>
      </c>
      <c r="E29" s="5">
        <v>1.6439999999999999</v>
      </c>
      <c r="F29" s="5">
        <v>1.7370000000000001</v>
      </c>
      <c r="G29" s="5">
        <v>1.8169999999999999</v>
      </c>
      <c r="H29" s="6" t="s">
        <v>11</v>
      </c>
      <c r="I29" s="5">
        <v>2.0339999999999998</v>
      </c>
      <c r="J29" s="1"/>
      <c r="K29" s="8">
        <f t="shared" si="0"/>
        <v>1.1662241186904954E-3</v>
      </c>
      <c r="L29" s="8">
        <f>B29^2* UnnormalizedLowerIncompleteGamma(2/2 + 1, (A29/B29)^(2)) + C29^2 *UnnormalizedUpperIncompleteGamma(2/3.6 + 1, (A29/C29)^(3.6)) - 1</f>
        <v>-6.5986036187838382E-3</v>
      </c>
      <c r="M29" s="8">
        <f t="shared" si="1"/>
        <v>-6.5986036187838382E-3</v>
      </c>
    </row>
    <row r="30" spans="1:13" x14ac:dyDescent="0.25">
      <c r="A30" s="9">
        <v>1.45</v>
      </c>
      <c r="B30" s="5">
        <v>1.036</v>
      </c>
      <c r="C30" s="5">
        <v>1.2030000000000001</v>
      </c>
      <c r="D30" s="5">
        <v>1.403</v>
      </c>
      <c r="E30" s="5">
        <v>1.6639999999999999</v>
      </c>
      <c r="F30" s="5">
        <v>1.7569999999999999</v>
      </c>
      <c r="G30" s="5">
        <v>1.8380000000000001</v>
      </c>
      <c r="H30" s="6" t="s">
        <v>11</v>
      </c>
      <c r="I30" s="5">
        <v>2.0579999999999998</v>
      </c>
      <c r="J30" s="1"/>
      <c r="K30" s="8">
        <f t="shared" si="0"/>
        <v>2.1624333888148328E-4</v>
      </c>
      <c r="L30" s="8">
        <f>B30^2* UnnormalizedLowerIncompleteGamma(2/2 + 1, (A30/B30)^(2)) + C30^2 *UnnormalizedUpperIncompleteGamma(2/3.6 + 1, (A30/C30)^(3.6)) - 1</f>
        <v>-5.9816433441173267E-3</v>
      </c>
      <c r="M30" s="8">
        <f t="shared" si="1"/>
        <v>-5.9816433441173267E-3</v>
      </c>
    </row>
    <row r="31" spans="1:13" x14ac:dyDescent="0.25">
      <c r="A31" s="9">
        <v>1.5</v>
      </c>
      <c r="B31" s="5">
        <v>1.03</v>
      </c>
      <c r="C31" s="5">
        <v>1.2170000000000001</v>
      </c>
      <c r="D31" s="5">
        <v>1.4059999999999999</v>
      </c>
      <c r="E31" s="5">
        <v>1.6830000000000001</v>
      </c>
      <c r="F31" s="5">
        <v>1.778</v>
      </c>
      <c r="G31" s="5">
        <v>1.86</v>
      </c>
      <c r="H31" s="6" t="s">
        <v>11</v>
      </c>
      <c r="I31" s="5">
        <v>2.0819999999999999</v>
      </c>
      <c r="J31" s="1"/>
      <c r="K31" s="8">
        <f t="shared" si="0"/>
        <v>-1.8290527747115704E-3</v>
      </c>
      <c r="L31" s="8">
        <f>B31^2* UnnormalizedLowerIncompleteGamma(2/2 + 1, (A31/B31)^(2)) + C31^2 *UnnormalizedUpperIncompleteGamma(2/3.6 + 1, (A31/C31)^(3.6)) - 1</f>
        <v>-5.9283544835025959E-3</v>
      </c>
      <c r="M31" s="8">
        <f t="shared" si="1"/>
        <v>-5.9283544835025959E-3</v>
      </c>
    </row>
    <row r="32" spans="1:13" x14ac:dyDescent="0.25">
      <c r="A32" s="9">
        <v>1.55</v>
      </c>
      <c r="B32" s="5">
        <v>1.024</v>
      </c>
      <c r="C32" s="5">
        <v>1.2310000000000001</v>
      </c>
      <c r="D32" s="5">
        <v>1.4079999999999999</v>
      </c>
      <c r="E32" s="5">
        <v>1.7030000000000001</v>
      </c>
      <c r="F32" s="5">
        <v>1.7989999999999999</v>
      </c>
      <c r="G32" s="5">
        <v>1.8819999999999999</v>
      </c>
      <c r="H32" s="6" t="s">
        <v>11</v>
      </c>
      <c r="I32" s="5">
        <v>2.1059999999999999</v>
      </c>
      <c r="J32" s="1"/>
      <c r="K32" s="8">
        <f t="shared" si="0"/>
        <v>-1.0640358291915675E-3</v>
      </c>
      <c r="L32" s="8">
        <f>B32^2* UnnormalizedLowerIncompleteGamma(2/2 + 1, (A32/B32)^(2)) + C32^2 *UnnormalizedUpperIncompleteGamma(2/3.6 + 1, (A32/C32)^(3.6)) - 1</f>
        <v>-6.4962726924943093E-3</v>
      </c>
      <c r="M32" s="8">
        <f t="shared" si="1"/>
        <v>-6.4962726924943093E-3</v>
      </c>
    </row>
    <row r="33" spans="1:13" x14ac:dyDescent="0.25">
      <c r="A33" s="9">
        <v>1.6</v>
      </c>
      <c r="B33" s="5">
        <v>1.02</v>
      </c>
      <c r="C33" s="5">
        <v>1.246</v>
      </c>
      <c r="D33" s="5">
        <v>1.41</v>
      </c>
      <c r="E33" s="5">
        <v>1.7210000000000001</v>
      </c>
      <c r="F33" s="5">
        <v>1.82</v>
      </c>
      <c r="G33" s="5">
        <v>1.9039999999999999</v>
      </c>
      <c r="H33" s="6" t="s">
        <v>11</v>
      </c>
      <c r="I33" s="5">
        <v>2.1309999999999998</v>
      </c>
      <c r="J33" s="1"/>
      <c r="K33" s="8">
        <f t="shared" si="0"/>
        <v>4.1150435944414809E-4</v>
      </c>
      <c r="L33" s="8">
        <f>B33^2* UnnormalizedLowerIncompleteGamma(2/2 + 1, (A33/B33)^(2)) + C33^2 *UnnormalizedUpperIncompleteGamma(2/3.6 + 1, (A33/C33)^(3.6)) - 1</f>
        <v>-5.0175656229617394E-3</v>
      </c>
      <c r="M33" s="8">
        <f t="shared" si="1"/>
        <v>-5.0175656229620724E-3</v>
      </c>
    </row>
    <row r="34" spans="1:13" x14ac:dyDescent="0.25">
      <c r="A34" s="9">
        <v>1.65</v>
      </c>
      <c r="B34" s="5">
        <v>1.016</v>
      </c>
      <c r="C34" s="5">
        <v>1.2609999999999999</v>
      </c>
      <c r="D34" s="5">
        <v>1.411</v>
      </c>
      <c r="E34" s="5">
        <v>1.736</v>
      </c>
      <c r="F34" s="5">
        <v>1.841</v>
      </c>
      <c r="G34" s="5">
        <v>1.927</v>
      </c>
      <c r="H34" s="6" t="s">
        <v>11</v>
      </c>
      <c r="I34" s="5">
        <v>2.1560000000000001</v>
      </c>
      <c r="J34" s="1"/>
      <c r="K34" s="8">
        <f t="shared" si="0"/>
        <v>4.9301342627043887E-3</v>
      </c>
      <c r="L34" s="8">
        <f>B34^2* UnnormalizedLowerIncompleteGamma(2/2 + 1, (A34/B34)^(2)) + C34^2 *UnnormalizedUpperIncompleteGamma(2/3.6 + 1, (A34/C34)^(3.6)) - 1</f>
        <v>-4.1468644753761552E-3</v>
      </c>
      <c r="M34" s="8">
        <f t="shared" si="1"/>
        <v>-4.1468644753761552E-3</v>
      </c>
    </row>
    <row r="35" spans="1:13" x14ac:dyDescent="0.25">
      <c r="A35" s="9">
        <v>1.7</v>
      </c>
      <c r="B35" s="5">
        <v>1.0129999999999999</v>
      </c>
      <c r="C35" s="5">
        <v>1.2749999999999999</v>
      </c>
      <c r="D35" s="5">
        <v>1.4119999999999999</v>
      </c>
      <c r="E35" s="5">
        <v>1.7490000000000001</v>
      </c>
      <c r="F35" s="5">
        <v>1.863</v>
      </c>
      <c r="G35" s="5">
        <v>1.9490000000000001</v>
      </c>
      <c r="H35" s="6" t="s">
        <v>11</v>
      </c>
      <c r="I35" s="5">
        <v>2.1819999999999999</v>
      </c>
      <c r="J35" s="1"/>
      <c r="K35" s="8">
        <f t="shared" si="0"/>
        <v>-6.5179329689346588E-4</v>
      </c>
      <c r="L35" s="8">
        <f>B35^2* UnnormalizedLowerIncompleteGamma(2/2 + 1, (A35/B35)^(2)) + C35^2 *UnnormalizedUpperIncompleteGamma(2/3.6 + 1, (A35/C35)^(3.6)) - 1</f>
        <v>-5.0438135000288042E-3</v>
      </c>
      <c r="M35" s="8">
        <f t="shared" si="1"/>
        <v>-5.0438135000290263E-3</v>
      </c>
    </row>
    <row r="36" spans="1:13" x14ac:dyDescent="0.25">
      <c r="A36" s="9">
        <v>1.75</v>
      </c>
      <c r="B36" s="5">
        <v>1.0109999999999999</v>
      </c>
      <c r="C36" s="5">
        <v>1.29</v>
      </c>
      <c r="D36" s="5">
        <v>1.413</v>
      </c>
      <c r="E36" s="5">
        <v>1.7589999999999999</v>
      </c>
      <c r="F36" s="5">
        <v>1.8839999999999999</v>
      </c>
      <c r="G36" s="5">
        <v>1.972</v>
      </c>
      <c r="H36" s="6" t="s">
        <v>11</v>
      </c>
      <c r="I36" s="5">
        <v>2.2069999999999999</v>
      </c>
      <c r="J36" s="1"/>
      <c r="K36" s="8">
        <f t="shared" si="0"/>
        <v>-1.6578317713697999E-3</v>
      </c>
      <c r="L36" s="8">
        <f>B36^2* UnnormalizedLowerIncompleteGamma(2/2 + 1, (A36/B36)^(2)) + C36^2 *UnnormalizedUpperIncompleteGamma(2/3.6 + 1, (A36/C36)^(3.6)) - 1</f>
        <v>-3.9000666040776011E-3</v>
      </c>
      <c r="M36" s="8">
        <f t="shared" si="1"/>
        <v>-3.9000666040776011E-3</v>
      </c>
    </row>
    <row r="37" spans="1:13" x14ac:dyDescent="0.25">
      <c r="A37" s="9">
        <v>1.8</v>
      </c>
      <c r="B37" s="5">
        <v>1.0089999999999999</v>
      </c>
      <c r="C37" s="5">
        <v>1.3049999999999999</v>
      </c>
      <c r="D37" s="5">
        <v>1.413</v>
      </c>
      <c r="E37" s="5">
        <v>1.7669999999999999</v>
      </c>
      <c r="F37" s="5">
        <v>1.9059999999999999</v>
      </c>
      <c r="G37" s="5">
        <v>1.994</v>
      </c>
      <c r="H37" s="6" t="s">
        <v>11</v>
      </c>
      <c r="I37" s="5">
        <v>2.2320000000000002</v>
      </c>
      <c r="J37" s="1"/>
      <c r="K37" s="8">
        <f t="shared" si="0"/>
        <v>-1.5021491733335779E-4</v>
      </c>
      <c r="L37" s="8">
        <f>B37^2* UnnormalizedLowerIncompleteGamma(2/2 + 1, (A37/B37)^(2)) + C37^2 *UnnormalizedUpperIncompleteGamma(2/3.6 + 1, (A37/C37)^(3.6)) - 1</f>
        <v>-3.091867730991793E-3</v>
      </c>
      <c r="M37" s="8">
        <f t="shared" si="1"/>
        <v>-3.091867730991904E-3</v>
      </c>
    </row>
    <row r="38" spans="1:13" x14ac:dyDescent="0.25">
      <c r="A38" s="9">
        <v>1.85</v>
      </c>
      <c r="B38" s="5">
        <v>1.0069999999999999</v>
      </c>
      <c r="C38" s="5">
        <v>1.32</v>
      </c>
      <c r="D38" s="5">
        <v>1.4139999999999999</v>
      </c>
      <c r="E38" s="5">
        <v>1.7729999999999999</v>
      </c>
      <c r="F38" s="5">
        <v>1.927</v>
      </c>
      <c r="G38" s="5">
        <v>2.0169999999999999</v>
      </c>
      <c r="H38" s="6" t="s">
        <v>11</v>
      </c>
      <c r="I38" s="5">
        <v>2.2570000000000001</v>
      </c>
      <c r="J38" s="1"/>
      <c r="K38" s="8">
        <f t="shared" si="0"/>
        <v>4.1353226995837211E-3</v>
      </c>
      <c r="L38" s="8">
        <f>B38^2* UnnormalizedLowerIncompleteGamma(2/2 + 1, (A38/B38)^(2)) + C38^2 *UnnormalizedUpperIncompleteGamma(2/3.6 + 1, (A38/C38)^(3.6)) - 1</f>
        <v>-2.6624368883170213E-3</v>
      </c>
      <c r="M38" s="8">
        <f t="shared" si="1"/>
        <v>-2.6624368883169103E-3</v>
      </c>
    </row>
    <row r="39" spans="1:13" x14ac:dyDescent="0.25">
      <c r="A39" s="9">
        <v>1.9</v>
      </c>
      <c r="B39" s="5">
        <v>1.006</v>
      </c>
      <c r="C39" s="5">
        <v>1.3340000000000001</v>
      </c>
      <c r="D39" s="5">
        <v>1.4139999999999999</v>
      </c>
      <c r="E39" s="5">
        <v>1.7789999999999999</v>
      </c>
      <c r="F39" s="5">
        <v>1.9490000000000001</v>
      </c>
      <c r="G39" s="5">
        <v>2.0390000000000001</v>
      </c>
      <c r="H39" s="6" t="s">
        <v>11</v>
      </c>
      <c r="I39" s="5">
        <v>2.282</v>
      </c>
      <c r="J39" s="1"/>
      <c r="K39" s="8">
        <f t="shared" si="0"/>
        <v>-5.2665569408909541E-3</v>
      </c>
      <c r="L39" s="8">
        <f>B39^2* UnnormalizedLowerIncompleteGamma(2/2 + 1, (A39/B39)^(2)) + C39^2 *UnnormalizedUpperIncompleteGamma(2/3.6 + 1, (A39/C39)^(3.6)) - 1</f>
        <v>-2.7706130720244193E-3</v>
      </c>
      <c r="M39" s="8">
        <f t="shared" si="1"/>
        <v>-2.7706130720244193E-3</v>
      </c>
    </row>
    <row r="40" spans="1:13" x14ac:dyDescent="0.25">
      <c r="A40" s="9">
        <v>1.95</v>
      </c>
      <c r="B40" s="5">
        <v>1.004</v>
      </c>
      <c r="C40" s="5">
        <v>1.349</v>
      </c>
      <c r="D40" s="5">
        <v>1.415</v>
      </c>
      <c r="E40" s="5">
        <v>1.7829999999999999</v>
      </c>
      <c r="F40" s="5">
        <v>1.97</v>
      </c>
      <c r="G40" s="5">
        <v>2.0619999999999998</v>
      </c>
      <c r="H40" s="6" t="s">
        <v>11</v>
      </c>
      <c r="I40" s="5">
        <v>2.3069999999999999</v>
      </c>
      <c r="J40" s="1"/>
      <c r="K40" s="8">
        <f t="shared" si="0"/>
        <v>4.5158581564441747E-3</v>
      </c>
      <c r="L40" s="8">
        <f>B40^2* UnnormalizedLowerIncompleteGamma(2/2 + 1, (A40/B40)^(2)) + C40^2 *UnnormalizedUpperIncompleteGamma(2/3.6 + 1, (A40/C40)^(3.6)) - 1</f>
        <v>-2.971433473593077E-3</v>
      </c>
      <c r="M40" s="8">
        <f t="shared" si="1"/>
        <v>-2.971433473593077E-3</v>
      </c>
    </row>
    <row r="41" spans="1:13" x14ac:dyDescent="0.25">
      <c r="A41" s="9">
        <v>2</v>
      </c>
      <c r="B41" s="5">
        <v>1.004</v>
      </c>
      <c r="C41" s="5">
        <v>1.363</v>
      </c>
      <c r="D41" s="5">
        <v>1.415</v>
      </c>
      <c r="E41" s="5">
        <v>1.786</v>
      </c>
      <c r="F41" s="5">
        <v>1.9850000000000001</v>
      </c>
      <c r="G41" s="5">
        <v>2.0840000000000001</v>
      </c>
      <c r="H41" s="6" t="s">
        <v>11</v>
      </c>
      <c r="I41" s="5">
        <v>2.3319999999999999</v>
      </c>
      <c r="J41" s="1"/>
      <c r="K41" s="8">
        <f t="shared" si="0"/>
        <v>-8.5096973602474257E-3</v>
      </c>
      <c r="L41" s="8">
        <f>B41^2* UnnormalizedLowerIncompleteGamma(2/2 + 1, (A41/B41)^(2)) + C41^2 *UnnormalizedUpperIncompleteGamma(2/3.6 + 1, (A41/C41)^(3.6)) - 1</f>
        <v>-2.1014985028470212E-3</v>
      </c>
      <c r="M41" s="8">
        <f t="shared" si="1"/>
        <v>-2.1014985028470212E-3</v>
      </c>
    </row>
    <row r="42" spans="1:13" x14ac:dyDescent="0.25">
      <c r="A42" s="9">
        <v>2.0499999999999998</v>
      </c>
      <c r="B42" s="5">
        <v>1.0029999999999999</v>
      </c>
      <c r="C42" s="5">
        <v>1.3779999999999999</v>
      </c>
      <c r="D42" s="5">
        <v>1.415</v>
      </c>
      <c r="E42" s="5">
        <v>1.7889999999999999</v>
      </c>
      <c r="F42" s="5">
        <v>1.9830000000000001</v>
      </c>
      <c r="G42" s="5">
        <v>2.1059999999999999</v>
      </c>
      <c r="H42" s="6" t="s">
        <v>11</v>
      </c>
      <c r="I42" s="5">
        <v>2.3570000000000002</v>
      </c>
      <c r="J42" s="1"/>
      <c r="K42" s="8">
        <f t="shared" si="0"/>
        <v>-1.0664824190618205E-3</v>
      </c>
      <c r="L42" s="8">
        <f>B42^2* UnnormalizedLowerIncompleteGamma(2/2 + 1, (A42/B42)^(2)) + C42^2 *UnnormalizedUpperIncompleteGamma(2/3.6 + 1, (A42/C42)^(3.6)) - 1</f>
        <v>-1.6313117453349291E-3</v>
      </c>
      <c r="M42" s="8">
        <f t="shared" si="1"/>
        <v>-1.6313117453349291E-3</v>
      </c>
    </row>
    <row r="43" spans="1:13" x14ac:dyDescent="0.25">
      <c r="A43" s="9">
        <v>2.1</v>
      </c>
      <c r="B43" s="5">
        <v>1.002</v>
      </c>
      <c r="C43" s="5">
        <v>1.3919999999999999</v>
      </c>
      <c r="D43" s="5">
        <v>1.415</v>
      </c>
      <c r="E43" s="5">
        <v>1.7909999999999999</v>
      </c>
      <c r="F43" s="5">
        <v>1.982</v>
      </c>
      <c r="G43" s="5">
        <v>2.1280000000000001</v>
      </c>
      <c r="H43" s="6" t="s">
        <v>11</v>
      </c>
      <c r="I43" s="5">
        <v>2.3820000000000001</v>
      </c>
      <c r="J43" s="1"/>
      <c r="K43" s="8">
        <f t="shared" si="0"/>
        <v>-1.8721553300515836E-3</v>
      </c>
      <c r="L43" s="8">
        <f>B43^2* UnnormalizedLowerIncompleteGamma(2/2 + 1, (A43/B43)^(2)) + C43^2 *UnnormalizedUpperIncompleteGamma(2/3.6 + 1, (A43/C43)^(3.6)) - 1</f>
        <v>-2.1765075520581156E-3</v>
      </c>
      <c r="M43" s="8">
        <f t="shared" si="1"/>
        <v>-2.1765075520581156E-3</v>
      </c>
    </row>
    <row r="44" spans="1:13" x14ac:dyDescent="0.25">
      <c r="A44" s="9">
        <v>2.15</v>
      </c>
      <c r="B44" s="5">
        <v>1.002</v>
      </c>
      <c r="C44" s="5">
        <v>1.407</v>
      </c>
      <c r="D44" s="5">
        <v>1.415</v>
      </c>
      <c r="E44" s="5">
        <v>1.7929999999999999</v>
      </c>
      <c r="F44" s="5">
        <v>1.9810000000000001</v>
      </c>
      <c r="G44" s="5">
        <v>2.15</v>
      </c>
      <c r="H44" s="6" t="s">
        <v>11</v>
      </c>
      <c r="I44" s="5">
        <v>2.4060000000000001</v>
      </c>
      <c r="J44" s="1"/>
      <c r="K44" s="8">
        <f t="shared" si="0"/>
        <v>2.3504589968910139E-3</v>
      </c>
      <c r="L44" s="8">
        <f>B44^2* UnnormalizedLowerIncompleteGamma(2/2 + 1, (A44/B44)^(2)) + C44^2 *UnnormalizedUpperIncompleteGamma(2/3.6 + 1, (A44/C44)^(3.6)) - 1</f>
        <v>-7.6345178210590614E-4</v>
      </c>
      <c r="M44" s="8">
        <f t="shared" si="1"/>
        <v>-7.6345178210590614E-4</v>
      </c>
    </row>
    <row r="45" spans="1:13" x14ac:dyDescent="0.25">
      <c r="A45" s="9">
        <v>2.2000000000000002</v>
      </c>
      <c r="B45" s="5">
        <v>1.0009999999999999</v>
      </c>
      <c r="C45" s="5">
        <v>1.421</v>
      </c>
      <c r="D45" s="5">
        <v>1.415</v>
      </c>
      <c r="E45" s="5">
        <v>1.7949999999999999</v>
      </c>
      <c r="F45" s="5">
        <v>1.9810000000000001</v>
      </c>
      <c r="G45" s="5">
        <v>2.149</v>
      </c>
      <c r="H45" s="6" t="s">
        <v>11</v>
      </c>
      <c r="I45" s="5">
        <v>2.4300000000000002</v>
      </c>
      <c r="J45" s="1"/>
      <c r="K45" s="8">
        <f t="shared" si="0"/>
        <v>6.6047284008527996E-3</v>
      </c>
      <c r="L45" s="8">
        <f>B45^2* UnnormalizedLowerIncompleteGamma(2/2 + 1, (A45/B45)^(2)) + C45^2 *UnnormalizedUpperIncompleteGamma(2/3.6 + 1, (A45/C45)^(3.6)) - 1</f>
        <v>-1.5902302016151948E-3</v>
      </c>
      <c r="M45" s="8">
        <f t="shared" si="1"/>
        <v>-1.5902302016151948E-3</v>
      </c>
    </row>
    <row r="46" spans="1:13" x14ac:dyDescent="0.25">
      <c r="A46" s="9">
        <v>2.25</v>
      </c>
      <c r="B46" s="5">
        <v>1.0009999999999999</v>
      </c>
      <c r="C46" s="5">
        <v>1.4350000000000001</v>
      </c>
      <c r="D46" s="5">
        <v>1.415</v>
      </c>
      <c r="E46" s="5">
        <v>1.796</v>
      </c>
      <c r="F46" s="5">
        <v>1.98</v>
      </c>
      <c r="G46" s="5">
        <v>2.1480000000000001</v>
      </c>
      <c r="H46" s="6" t="s">
        <v>11</v>
      </c>
      <c r="I46" s="5">
        <v>2.4540000000000002</v>
      </c>
      <c r="J46" s="1"/>
      <c r="K46" s="8">
        <f t="shared" si="0"/>
        <v>3.5662867523269526E-3</v>
      </c>
      <c r="L46" s="8">
        <f>B46^2* UnnormalizedLowerIncompleteGamma(2/2 + 1, (A46/B46)^(2)) + C46^2 *UnnormalizedUpperIncompleteGamma(2/3.6 + 1, (A46/C46)^(3.6)) - 1</f>
        <v>-9.6727705212540371E-4</v>
      </c>
      <c r="M46" s="8">
        <f t="shared" si="1"/>
        <v>-9.6727705212540371E-4</v>
      </c>
    </row>
    <row r="47" spans="1:13" x14ac:dyDescent="0.25">
      <c r="A47" s="9">
        <v>2.2999999999999998</v>
      </c>
      <c r="B47" s="5">
        <v>1.0009999999999999</v>
      </c>
      <c r="C47" s="5">
        <v>1.4490000000000001</v>
      </c>
      <c r="D47" s="5">
        <v>1.415</v>
      </c>
      <c r="E47" s="5">
        <v>1.7969999999999999</v>
      </c>
      <c r="F47" s="5">
        <v>1.9790000000000001</v>
      </c>
      <c r="G47" s="5">
        <v>2.1480000000000001</v>
      </c>
      <c r="H47" s="6" t="s">
        <v>11</v>
      </c>
      <c r="I47" s="5">
        <v>2.4780000000000002</v>
      </c>
      <c r="J47" s="1"/>
      <c r="K47" s="8">
        <f t="shared" si="0"/>
        <v>2.5946835211829722E-3</v>
      </c>
      <c r="L47" s="8">
        <f>B47^2* UnnormalizedLowerIncompleteGamma(2/2 + 1, (A47/B47)^(2)) + C47^2 *UnnormalizedUpperIncompleteGamma(2/3.6 + 1, (A47/C47)^(3.6)) - 1</f>
        <v>-3.8250009441753718E-4</v>
      </c>
      <c r="M47" s="8">
        <f t="shared" si="1"/>
        <v>-3.8250009441753718E-4</v>
      </c>
    </row>
    <row r="48" spans="1:13" x14ac:dyDescent="0.25">
      <c r="A48" s="9">
        <v>2.35</v>
      </c>
      <c r="B48" s="5">
        <v>1.0009999999999999</v>
      </c>
      <c r="C48" s="5">
        <v>1.462</v>
      </c>
      <c r="D48" s="5">
        <v>1.415</v>
      </c>
      <c r="E48" s="5">
        <v>1.7969999999999999</v>
      </c>
      <c r="F48" s="5">
        <v>1.9790000000000001</v>
      </c>
      <c r="G48" s="5">
        <v>2.1469999999999998</v>
      </c>
      <c r="H48" s="6" t="s">
        <v>11</v>
      </c>
      <c r="I48" s="5">
        <v>2.5019999999999998</v>
      </c>
      <c r="J48" s="1"/>
      <c r="K48" s="8">
        <f t="shared" si="0"/>
        <v>-9.7320577828856614E-3</v>
      </c>
      <c r="L48" s="8">
        <f>B48^2* UnnormalizedLowerIncompleteGamma(2/2 + 1, (A48/B48)^(2)) + C48^2 *UnnormalizedUpperIncompleteGamma(2/3.6 + 1, (A48/C48)^(3.6)) - 1</f>
        <v>-1.8542714882652245E-4</v>
      </c>
      <c r="M48" s="8">
        <f t="shared" si="1"/>
        <v>-1.8542714882652245E-4</v>
      </c>
    </row>
    <row r="49" spans="1:13" x14ac:dyDescent="0.25">
      <c r="A49" s="9">
        <v>2.4</v>
      </c>
      <c r="B49" s="5">
        <v>1</v>
      </c>
      <c r="C49" s="5">
        <v>1.476</v>
      </c>
      <c r="D49" s="5">
        <v>1.4159999999999999</v>
      </c>
      <c r="E49" s="5">
        <v>1.798</v>
      </c>
      <c r="F49" s="5">
        <v>1.9790000000000001</v>
      </c>
      <c r="G49" s="5">
        <v>2.1469999999999998</v>
      </c>
      <c r="H49" s="6" t="s">
        <v>11</v>
      </c>
      <c r="I49" s="5">
        <v>2.5249999999999999</v>
      </c>
      <c r="J49" s="1"/>
      <c r="K49" s="8">
        <f t="shared" si="0"/>
        <v>4.9436118977590482E-3</v>
      </c>
      <c r="L49" s="8">
        <f>B49^2* UnnormalizedLowerIncompleteGamma(2/2 + 1, (A49/B49)^(2)) + C49^2 *UnnormalizedUpperIncompleteGamma(2/3.6 + 1, (A49/C49)^(3.6)) - 1</f>
        <v>-1.4116134880139963E-3</v>
      </c>
      <c r="M49" s="8">
        <f t="shared" si="1"/>
        <v>-1.4116134880139963E-3</v>
      </c>
    </row>
    <row r="50" spans="1:13" x14ac:dyDescent="0.25">
      <c r="A50" s="9">
        <v>2.4500000000000002</v>
      </c>
      <c r="B50" s="5">
        <v>1</v>
      </c>
      <c r="C50" s="5">
        <v>1.49</v>
      </c>
      <c r="D50" s="5">
        <v>1.4159999999999999</v>
      </c>
      <c r="E50" s="5">
        <v>1.798</v>
      </c>
      <c r="F50" s="5">
        <v>1.9790000000000001</v>
      </c>
      <c r="G50" s="5">
        <v>2.1469999999999998</v>
      </c>
      <c r="H50" s="6" t="s">
        <v>11</v>
      </c>
      <c r="I50" s="5">
        <v>2.548</v>
      </c>
      <c r="J50" s="1"/>
      <c r="K50" s="8">
        <f t="shared" si="0"/>
        <v>1.1113487420144175E-2</v>
      </c>
      <c r="L50" s="8">
        <f>B50^2* UnnormalizedLowerIncompleteGamma(2/2 + 1, (A50/B50)^(2)) + C50^2 *UnnormalizedUpperIncompleteGamma(2/3.6 + 1, (A50/C50)^(3.6)) - 1</f>
        <v>-1.0001434282965738E-3</v>
      </c>
      <c r="M50" s="8">
        <f t="shared" si="1"/>
        <v>-1.0001434282965738E-3</v>
      </c>
    </row>
    <row r="51" spans="1:13" x14ac:dyDescent="0.25">
      <c r="A51" s="9">
        <v>2.5</v>
      </c>
      <c r="B51" s="5">
        <v>1</v>
      </c>
      <c r="C51" s="5">
        <v>1.5029999999999999</v>
      </c>
      <c r="D51" s="5">
        <v>1.4159999999999999</v>
      </c>
      <c r="E51" s="5">
        <v>1.7989999999999999</v>
      </c>
      <c r="F51" s="5">
        <v>1.978</v>
      </c>
      <c r="G51" s="5">
        <v>2.1469999999999998</v>
      </c>
      <c r="H51" s="6" t="s">
        <v>11</v>
      </c>
      <c r="I51" s="5">
        <v>2.5710000000000002</v>
      </c>
      <c r="J51" s="1"/>
      <c r="K51" s="8">
        <f t="shared" si="0"/>
        <v>5.0106639878473302E-3</v>
      </c>
      <c r="L51" s="8">
        <f>B51^2* UnnormalizedLowerIncompleteGamma(2/2 + 1, (A51/B51)^(2)) + C51^2 *UnnormalizedUpperIncompleteGamma(2/3.6 + 1, (A51/C51)^(3.6)) - 1</f>
        <v>-8.5476414057372718E-4</v>
      </c>
      <c r="M51" s="8">
        <f t="shared" si="1"/>
        <v>-8.5476414057372718E-4</v>
      </c>
    </row>
    <row r="52" spans="1:13" x14ac:dyDescent="0.25">
      <c r="A52" s="9">
        <v>2.5499999999999998</v>
      </c>
      <c r="B52" s="5">
        <v>1</v>
      </c>
      <c r="C52" s="5">
        <v>1.516</v>
      </c>
      <c r="D52" s="5">
        <v>1.4159999999999999</v>
      </c>
      <c r="E52" s="5">
        <v>1.7989999999999999</v>
      </c>
      <c r="F52" s="5">
        <v>1.978</v>
      </c>
      <c r="G52" s="5">
        <v>2.1459999999999999</v>
      </c>
      <c r="H52" s="6" t="s">
        <v>11</v>
      </c>
      <c r="I52" s="5">
        <v>2.593</v>
      </c>
      <c r="J52" s="1"/>
      <c r="K52" s="8">
        <f t="shared" si="0"/>
        <v>7.9104160926402045E-4</v>
      </c>
      <c r="L52" s="8">
        <f>B52^2* UnnormalizedLowerIncompleteGamma(2/2 + 1, (A52/B52)^(2)) + C52^2 *UnnormalizedUpperIncompleteGamma(2/3.6 + 1, (A52/C52)^(3.6)) - 1</f>
        <v>-7.0560098298033669E-4</v>
      </c>
      <c r="M52" s="8">
        <f t="shared" si="1"/>
        <v>-7.0560098298033669E-4</v>
      </c>
    </row>
    <row r="53" spans="1:13" x14ac:dyDescent="0.25">
      <c r="A53" s="9">
        <v>2.6</v>
      </c>
      <c r="B53" s="5">
        <v>1</v>
      </c>
      <c r="C53" s="5">
        <v>1.5289999999999999</v>
      </c>
      <c r="D53" s="5">
        <v>1.4159999999999999</v>
      </c>
      <c r="E53" s="5">
        <v>1.7989999999999999</v>
      </c>
      <c r="F53" s="5">
        <v>1.978</v>
      </c>
      <c r="G53" s="5">
        <v>2.1459999999999999</v>
      </c>
      <c r="H53" s="6" t="s">
        <v>11</v>
      </c>
      <c r="I53" s="5">
        <v>2.6160000000000001</v>
      </c>
      <c r="J53" s="1"/>
      <c r="K53" s="8">
        <f t="shared" si="0"/>
        <v>-1.4074097250800222E-3</v>
      </c>
      <c r="L53" s="8">
        <f>B53^2* UnnormalizedLowerIncompleteGamma(2/2 + 1, (A53/B53)^(2)) + C53^2 *UnnormalizedUpperIncompleteGamma(2/3.6 + 1, (A53/C53)^(3.6)) - 1</f>
        <v>-5.6273712947352283E-4</v>
      </c>
      <c r="M53" s="8">
        <f t="shared" si="1"/>
        <v>-5.6273712947352283E-4</v>
      </c>
    </row>
    <row r="54" spans="1:13" x14ac:dyDescent="0.25">
      <c r="A54" s="9">
        <v>2.65</v>
      </c>
      <c r="B54" s="5">
        <v>1</v>
      </c>
      <c r="C54" s="5">
        <v>1.542</v>
      </c>
      <c r="D54" s="5">
        <v>1.4159999999999999</v>
      </c>
      <c r="E54" s="5">
        <v>1.7989999999999999</v>
      </c>
      <c r="F54" s="5">
        <v>1.978</v>
      </c>
      <c r="G54" s="5">
        <v>2.1459999999999999</v>
      </c>
      <c r="H54" s="6" t="s">
        <v>11</v>
      </c>
      <c r="I54" s="5">
        <v>2.629</v>
      </c>
      <c r="J54" s="1"/>
      <c r="K54" s="8">
        <f t="shared" si="0"/>
        <v>-1.4498288173552254E-3</v>
      </c>
      <c r="L54" s="8">
        <f>B54^2* UnnormalizedLowerIncompleteGamma(2/2 + 1, (A54/B54)^(2)) + C54^2 *UnnormalizedUpperIncompleteGamma(2/3.6 + 1, (A54/C54)^(3.6)) - 1</f>
        <v>-4.3255602564240547E-4</v>
      </c>
      <c r="M54" s="8">
        <f t="shared" si="1"/>
        <v>-4.3255602564240547E-4</v>
      </c>
    </row>
    <row r="55" spans="1:13" x14ac:dyDescent="0.25">
      <c r="A55" s="9">
        <v>2.7</v>
      </c>
      <c r="B55" s="5">
        <v>1</v>
      </c>
      <c r="C55" s="5">
        <v>1.5549999999999999</v>
      </c>
      <c r="D55" s="5">
        <v>1.4159999999999999</v>
      </c>
      <c r="E55" s="5">
        <v>1.7989999999999999</v>
      </c>
      <c r="F55" s="5">
        <v>1.978</v>
      </c>
      <c r="G55" s="5">
        <v>2.1459999999999999</v>
      </c>
      <c r="H55" s="6" t="s">
        <v>11</v>
      </c>
      <c r="I55" s="5">
        <v>2.629</v>
      </c>
      <c r="J55" s="1"/>
      <c r="K55" s="8">
        <f t="shared" si="0"/>
        <v>7.9549574719539606E-4</v>
      </c>
      <c r="L55" s="8">
        <f>B55^2* UnnormalizedLowerIncompleteGamma(2/2 + 1, (A55/B55)^(2)) + C55^2 *UnnormalizedUpperIncompleteGamma(2/3.6 + 1, (A55/C55)^(3.6)) - 1</f>
        <v>-3.1857755307818092E-4</v>
      </c>
      <c r="M55" s="8">
        <f t="shared" si="1"/>
        <v>-3.1857755307818092E-4</v>
      </c>
    </row>
    <row r="56" spans="1:13" x14ac:dyDescent="0.25">
      <c r="A56" s="9">
        <v>2.75</v>
      </c>
      <c r="B56" s="5">
        <v>1</v>
      </c>
      <c r="C56" s="5">
        <v>1.5680000000000001</v>
      </c>
      <c r="D56" s="5">
        <v>1.4159999999999999</v>
      </c>
      <c r="E56" s="5">
        <v>1.8</v>
      </c>
      <c r="F56" s="5">
        <v>1.978</v>
      </c>
      <c r="G56" s="5">
        <v>2.1459999999999999</v>
      </c>
      <c r="H56" s="6" t="s">
        <v>11</v>
      </c>
      <c r="I56" s="5">
        <v>2.6280000000000001</v>
      </c>
      <c r="J56" s="1"/>
      <c r="K56" s="8">
        <f t="shared" si="0"/>
        <v>5.4570983179154098E-3</v>
      </c>
      <c r="L56" s="8">
        <f>B56^2* UnnormalizedLowerIncompleteGamma(2/2 + 1, (A56/B56)^(2)) + C56^2 *UnnormalizedUpperIncompleteGamma(2/3.6 + 1, (A56/C56)^(3.6)) - 1</f>
        <v>-2.2219269100887118E-4</v>
      </c>
      <c r="M56" s="8">
        <f t="shared" si="1"/>
        <v>-2.2219269100887118E-4</v>
      </c>
    </row>
    <row r="57" spans="1:13" x14ac:dyDescent="0.25">
      <c r="A57" s="9">
        <v>2.8</v>
      </c>
      <c r="B57" s="5">
        <v>1</v>
      </c>
      <c r="C57" s="5">
        <v>1.58</v>
      </c>
      <c r="D57" s="5">
        <v>1.4159999999999999</v>
      </c>
      <c r="E57" s="5">
        <v>1.8</v>
      </c>
      <c r="F57" s="5">
        <v>1.978</v>
      </c>
      <c r="G57" s="5">
        <v>2.1459999999999999</v>
      </c>
      <c r="H57" s="6" t="s">
        <v>11</v>
      </c>
      <c r="I57" s="5">
        <v>2.6280000000000001</v>
      </c>
      <c r="J57" s="1"/>
      <c r="K57" s="8">
        <f t="shared" si="0"/>
        <v>-5.1888026089397243E-3</v>
      </c>
      <c r="L57" s="8">
        <f>B57^2* UnnormalizedLowerIncompleteGamma(2/2 + 1, (A57/B57)^(2)) + C57^2 *UnnormalizedUpperIncompleteGamma(2/3.6 + 1, (A57/C57)^(3.6)) - 1</f>
        <v>-2.0276587698886406E-4</v>
      </c>
      <c r="M57" s="8">
        <f t="shared" si="1"/>
        <v>-2.0276587698886406E-4</v>
      </c>
    </row>
    <row r="58" spans="1:13" x14ac:dyDescent="0.25">
      <c r="A58" s="9">
        <v>2.85</v>
      </c>
      <c r="B58" s="5">
        <v>1</v>
      </c>
      <c r="C58" s="5">
        <v>1.593</v>
      </c>
      <c r="D58" s="5">
        <v>1.4159999999999999</v>
      </c>
      <c r="E58" s="5">
        <v>1.8</v>
      </c>
      <c r="F58" s="5">
        <v>1.978</v>
      </c>
      <c r="G58" s="5">
        <v>2.1459999999999999</v>
      </c>
      <c r="H58" s="6" t="s">
        <v>11</v>
      </c>
      <c r="I58" s="5">
        <v>2.6280000000000001</v>
      </c>
      <c r="J58" s="1"/>
      <c r="K58" s="8">
        <f t="shared" si="0"/>
        <v>4.2073436433121003E-3</v>
      </c>
      <c r="L58" s="8">
        <f>B58^2* UnnormalizedLowerIncompleteGamma(2/2 + 1, (A58/B58)^(2)) + C58^2 *UnnormalizedUpperIncompleteGamma(2/3.6 + 1, (A58/C58)^(3.6)) - 1</f>
        <v>-1.2876488449586887E-4</v>
      </c>
      <c r="M58" s="8">
        <f t="shared" si="1"/>
        <v>-1.2876488449586887E-4</v>
      </c>
    </row>
    <row r="59" spans="1:13" x14ac:dyDescent="0.25">
      <c r="A59" s="9">
        <v>2.9</v>
      </c>
      <c r="B59" s="5">
        <v>1</v>
      </c>
      <c r="C59" s="5">
        <v>1.605</v>
      </c>
      <c r="D59" s="5">
        <v>1.4159999999999999</v>
      </c>
      <c r="E59" s="5">
        <v>1.8</v>
      </c>
      <c r="F59" s="5">
        <v>1.978</v>
      </c>
      <c r="G59" s="5">
        <v>2.1459999999999999</v>
      </c>
      <c r="H59" s="6" t="s">
        <v>11</v>
      </c>
      <c r="I59" s="5">
        <v>2.6280000000000001</v>
      </c>
      <c r="J59" s="1"/>
      <c r="K59" s="8">
        <f t="shared" si="0"/>
        <v>-2.4531804184952932E-3</v>
      </c>
      <c r="L59" s="8">
        <f>B59^2* UnnormalizedLowerIncompleteGamma(2/2 + 1, (A59/B59)^(2)) + C59^2 *UnnormalizedUpperIncompleteGamma(2/3.6 + 1, (A59/C59)^(3.6)) - 1</f>
        <v>-1.0950656010699777E-4</v>
      </c>
      <c r="M59" s="8">
        <f t="shared" si="1"/>
        <v>-1.0950656010699777E-4</v>
      </c>
    </row>
    <row r="60" spans="1:13" x14ac:dyDescent="0.25">
      <c r="A60" s="9">
        <v>2.95</v>
      </c>
      <c r="B60" s="5">
        <v>1</v>
      </c>
      <c r="C60" s="5">
        <v>1.617</v>
      </c>
      <c r="D60" s="5">
        <v>1.4159999999999999</v>
      </c>
      <c r="E60" s="5">
        <v>1.8</v>
      </c>
      <c r="F60" s="5">
        <v>1.978</v>
      </c>
      <c r="G60" s="5">
        <v>2.1459999999999999</v>
      </c>
      <c r="H60" s="6" t="s">
        <v>11</v>
      </c>
      <c r="I60" s="5">
        <v>2.6280000000000001</v>
      </c>
      <c r="J60" s="1"/>
      <c r="K60" s="8">
        <f t="shared" si="0"/>
        <v>-7.1997911576904272E-3</v>
      </c>
      <c r="L60" s="8">
        <f>B60^2* UnnormalizedLowerIncompleteGamma(2/2 + 1, (A60/B60)^(2)) + C60^2 *UnnormalizedUpperIncompleteGamma(2/3.6 + 1, (A60/C60)^(3.6)) - 1</f>
        <v>-8.9022810914940464E-5</v>
      </c>
      <c r="M60" s="8">
        <f t="shared" si="1"/>
        <v>-8.9022810914940464E-5</v>
      </c>
    </row>
    <row r="61" spans="1:13" x14ac:dyDescent="0.25">
      <c r="A61" s="9">
        <v>3</v>
      </c>
      <c r="B61" s="5">
        <v>1</v>
      </c>
      <c r="C61" s="5">
        <v>1.63</v>
      </c>
      <c r="D61" s="5">
        <v>1.4159999999999999</v>
      </c>
      <c r="E61" s="5">
        <v>1.8</v>
      </c>
      <c r="F61" s="5">
        <v>1.978</v>
      </c>
      <c r="G61" s="5">
        <v>2.1459999999999999</v>
      </c>
      <c r="H61" s="6" t="s">
        <v>11</v>
      </c>
      <c r="I61" s="5">
        <v>2.6280000000000001</v>
      </c>
      <c r="J61" s="1"/>
      <c r="K61" s="8">
        <f t="shared" si="0"/>
        <v>9.9699969536271027E-3</v>
      </c>
      <c r="L61" s="8">
        <f>B61^2* UnnormalizedLowerIncompleteGamma(2/2 + 1, (A61/B61)^(2)) + C61^2 *UnnormalizedUpperIncompleteGamma(2/3.6 + 1, (A61/C61)^(3.6)) - 1</f>
        <v>-4.594313047323606E-5</v>
      </c>
      <c r="M61" s="8">
        <f t="shared" si="1"/>
        <v>-4.594313047323606E-5</v>
      </c>
    </row>
    <row r="62" spans="1:13" x14ac:dyDescent="0.25">
      <c r="A62" s="9">
        <v>3.05</v>
      </c>
      <c r="B62" s="5">
        <v>1</v>
      </c>
      <c r="C62" s="5">
        <v>1.6419999999999999</v>
      </c>
      <c r="D62" s="5">
        <v>1.4159999999999999</v>
      </c>
      <c r="E62" s="5">
        <v>1.8</v>
      </c>
      <c r="F62" s="5">
        <v>1.978</v>
      </c>
      <c r="G62" s="5">
        <v>2.1459999999999999</v>
      </c>
      <c r="H62" s="6" t="s">
        <v>11</v>
      </c>
      <c r="I62" s="5">
        <v>2.6280000000000001</v>
      </c>
      <c r="J62" s="1"/>
      <c r="K62" s="8">
        <f t="shared" si="0"/>
        <v>9.9250711905849442E-3</v>
      </c>
      <c r="L62" s="8">
        <f>B62^2* UnnormalizedLowerIncompleteGamma(2/2 + 1, (A62/B62)^(2)) + C62^2 *UnnormalizedUpperIncompleteGamma(2/3.6 + 1, (A62/C62)^(3.6)) - 1</f>
        <v>-3.3653312970671756E-5</v>
      </c>
      <c r="M62" s="8">
        <f t="shared" si="1"/>
        <v>-3.3653312970671756E-5</v>
      </c>
    </row>
    <row r="63" spans="1:13" x14ac:dyDescent="0.25">
      <c r="A63" s="9">
        <v>3.1</v>
      </c>
      <c r="B63" s="5">
        <v>1</v>
      </c>
      <c r="C63" s="5">
        <v>1.653</v>
      </c>
      <c r="D63" s="5">
        <v>1.4159999999999999</v>
      </c>
      <c r="E63" s="5">
        <v>1.8</v>
      </c>
      <c r="F63" s="5">
        <v>1.978</v>
      </c>
      <c r="G63" s="5">
        <v>2.1459999999999999</v>
      </c>
      <c r="H63" s="6" t="s">
        <v>11</v>
      </c>
      <c r="I63" s="5">
        <v>2.6280000000000001</v>
      </c>
      <c r="J63" s="1"/>
      <c r="K63" s="8">
        <f t="shared" si="0"/>
        <v>-8.7763067681478901E-3</v>
      </c>
      <c r="L63" s="8">
        <f>B63^2* UnnormalizedLowerIncompleteGamma(2/2 + 1, (A63/B63)^(2)) + C63^2 *UnnormalizedUpperIncompleteGamma(2/3.6 + 1, (A63/C63)^(3.6)) - 1</f>
        <v>-3.7289520591121672E-5</v>
      </c>
      <c r="M63" s="8">
        <f t="shared" si="1"/>
        <v>-3.7289520591121672E-5</v>
      </c>
    </row>
    <row r="64" spans="1:13" x14ac:dyDescent="0.25">
      <c r="A64" s="9">
        <v>3.15</v>
      </c>
      <c r="B64" s="5">
        <v>1</v>
      </c>
      <c r="C64" s="5">
        <v>1.665</v>
      </c>
      <c r="D64" s="5">
        <v>1.4159999999999999</v>
      </c>
      <c r="E64" s="5">
        <v>1.8</v>
      </c>
      <c r="F64" s="5">
        <v>1.978</v>
      </c>
      <c r="G64" s="5">
        <v>2.1459999999999999</v>
      </c>
      <c r="H64" s="6" t="s">
        <v>11</v>
      </c>
      <c r="I64" s="5">
        <v>2.6280000000000001</v>
      </c>
      <c r="J64" s="1"/>
      <c r="K64" s="8">
        <f t="shared" si="0"/>
        <v>-4.6992195256674307E-3</v>
      </c>
      <c r="L64" s="8">
        <f>B64^2* UnnormalizedLowerIncompleteGamma(2/2 + 1, (A64/B64)^(2)) + C64^2 *UnnormalizedUpperIncompleteGamma(2/3.6 + 1, (A64/C64)^(3.6)) - 1</f>
        <v>-2.5296594709844911E-5</v>
      </c>
      <c r="M64" s="8">
        <f t="shared" si="1"/>
        <v>-2.5296594709844911E-5</v>
      </c>
    </row>
    <row r="65" spans="1:13" x14ac:dyDescent="0.25">
      <c r="A65" s="9">
        <v>3.2</v>
      </c>
      <c r="B65" s="5">
        <v>1</v>
      </c>
      <c r="C65" s="5">
        <v>1.677</v>
      </c>
      <c r="D65" s="5">
        <v>1.4159999999999999</v>
      </c>
      <c r="E65" s="5">
        <v>1.8</v>
      </c>
      <c r="F65" s="5">
        <v>1.978</v>
      </c>
      <c r="G65" s="5">
        <v>2.1459999999999999</v>
      </c>
      <c r="H65" s="6" t="s">
        <v>11</v>
      </c>
      <c r="I65" s="5">
        <v>2.6280000000000001</v>
      </c>
      <c r="J65" s="1"/>
      <c r="K65" s="8">
        <f t="shared" si="0"/>
        <v>1.8639459331257768E-3</v>
      </c>
      <c r="L65" s="8">
        <f>B65^2* UnnormalizedLowerIncompleteGamma(2/2 + 1, (A65/B65)^(2)) + C65^2 *UnnormalizedUpperIncompleteGamma(2/3.6 + 1, (A65/C65)^(3.6)) - 1</f>
        <v>-1.5912872643353282E-5</v>
      </c>
      <c r="M65" s="8">
        <f t="shared" si="1"/>
        <v>-1.5912872643353282E-5</v>
      </c>
    </row>
    <row r="66" spans="1:13" x14ac:dyDescent="0.25">
      <c r="A66" s="9">
        <v>3.25</v>
      </c>
      <c r="B66" s="5">
        <v>1</v>
      </c>
      <c r="C66" s="5">
        <v>1.6890000000000001</v>
      </c>
      <c r="D66" s="5">
        <v>1.4159999999999999</v>
      </c>
      <c r="E66" s="5">
        <v>1.8</v>
      </c>
      <c r="F66" s="5">
        <v>1.978</v>
      </c>
      <c r="G66" s="5">
        <v>2.1459999999999999</v>
      </c>
      <c r="H66" s="6" t="s">
        <v>11</v>
      </c>
      <c r="I66" s="5">
        <v>2.6280000000000001</v>
      </c>
      <c r="J66" s="1"/>
      <c r="K66" s="8">
        <f t="shared" si="0"/>
        <v>1.1020462004928788E-2</v>
      </c>
      <c r="L66" s="8">
        <f>B66^2* UnnormalizedLowerIncompleteGamma(2/2 + 1, (A66/B66)^(2)) + C66^2 *UnnormalizedUpperIncompleteGamma(2/3.6 + 1, (A66/C66)^(3.6)) - 1</f>
        <v>-8.8384054420798108E-6</v>
      </c>
      <c r="M66" s="8">
        <f t="shared" si="1"/>
        <v>-8.8384054420798108E-6</v>
      </c>
    </row>
    <row r="67" spans="1:13" x14ac:dyDescent="0.25">
      <c r="A67" s="9">
        <v>3.3</v>
      </c>
      <c r="B67" s="5">
        <v>1</v>
      </c>
      <c r="C67" s="5">
        <v>1.7</v>
      </c>
      <c r="D67" s="5">
        <v>1.4159999999999999</v>
      </c>
      <c r="E67" s="5">
        <v>1.8</v>
      </c>
      <c r="F67" s="5">
        <v>1.978</v>
      </c>
      <c r="G67" s="5">
        <v>2.1459999999999999</v>
      </c>
      <c r="H67" s="6" t="s">
        <v>11</v>
      </c>
      <c r="I67" s="5">
        <v>2.6280000000000001</v>
      </c>
      <c r="J67" s="1"/>
      <c r="K67" s="8">
        <f t="shared" ref="K67:K71" si="2">(A67/B67)^2-(A67/C67)^3.6</f>
        <v>-1.5513712739156915E-4</v>
      </c>
      <c r="L67" s="8">
        <f>B67^2* UnnormalizedLowerIncompleteGamma(2/2 + 1, (A67/B67)^(2)) + C67^2 *UnnormalizedUpperIncompleteGamma(2/3.6 + 1, (A67/C67)^(3.6)) - 1</f>
        <v>-8.6956457648890151E-6</v>
      </c>
      <c r="M67" s="8">
        <f t="shared" ref="M67:M71" si="3">CalculateF1_ForCell(A67,B67,C67)</f>
        <v>-8.6956457648890151E-6</v>
      </c>
    </row>
    <row r="68" spans="1:13" x14ac:dyDescent="0.25">
      <c r="A68" s="9">
        <v>3.35</v>
      </c>
      <c r="B68" s="5">
        <v>1</v>
      </c>
      <c r="C68" s="5">
        <v>1.7110000000000001</v>
      </c>
      <c r="D68" s="5">
        <v>1.4159999999999999</v>
      </c>
      <c r="E68" s="5">
        <v>1.8</v>
      </c>
      <c r="F68" s="5">
        <v>1.978</v>
      </c>
      <c r="G68" s="5">
        <v>2.1459999999999999</v>
      </c>
      <c r="H68" s="6" t="s">
        <v>11</v>
      </c>
      <c r="I68" s="5">
        <v>2.6280000000000001</v>
      </c>
      <c r="J68" s="1"/>
      <c r="K68" s="8">
        <f t="shared" si="2"/>
        <v>-9.6080080316731653E-3</v>
      </c>
      <c r="L68" s="8">
        <f>B68^2* UnnormalizedLowerIncompleteGamma(2/2 + 1, (A68/B68)^(2)) + C68^2 *UnnormalizedUpperIncompleteGamma(2/3.6 + 1, (A68/C68)^(3.6)) - 1</f>
        <v>-7.7140153658117327E-6</v>
      </c>
      <c r="M68" s="8">
        <f t="shared" si="3"/>
        <v>-7.7140153658117327E-6</v>
      </c>
    </row>
    <row r="69" spans="1:13" x14ac:dyDescent="0.25">
      <c r="A69" s="9">
        <v>3.4</v>
      </c>
      <c r="B69" s="5">
        <v>1</v>
      </c>
      <c r="C69" s="5">
        <v>1.7230000000000001</v>
      </c>
      <c r="D69" s="5">
        <v>1.4159999999999999</v>
      </c>
      <c r="E69" s="5">
        <v>1.8</v>
      </c>
      <c r="F69" s="5">
        <v>1.978</v>
      </c>
      <c r="G69" s="5">
        <v>2.1459999999999999</v>
      </c>
      <c r="H69" s="6" t="s">
        <v>11</v>
      </c>
      <c r="I69" s="5">
        <v>2.6280000000000001</v>
      </c>
      <c r="J69" s="1"/>
      <c r="K69" s="8">
        <f t="shared" si="2"/>
        <v>6.9380390859894447E-3</v>
      </c>
      <c r="L69" s="8">
        <f>B69^2* UnnormalizedLowerIncompleteGamma(2/2 + 1, (A69/B69)^(2)) + C69^2 *UnnormalizedUpperIncompleteGamma(2/3.6 + 1, (A69/C69)^(3.6)) - 1</f>
        <v>-3.6161469274542668E-6</v>
      </c>
      <c r="M69" s="8">
        <f t="shared" si="3"/>
        <v>-3.6161469274542668E-6</v>
      </c>
    </row>
    <row r="70" spans="1:13" x14ac:dyDescent="0.25">
      <c r="A70" s="9">
        <v>3.45</v>
      </c>
      <c r="B70" s="5">
        <v>1</v>
      </c>
      <c r="C70" s="5">
        <v>1.734</v>
      </c>
      <c r="D70" s="5">
        <v>1.4159999999999999</v>
      </c>
      <c r="E70" s="5">
        <v>1.8</v>
      </c>
      <c r="F70" s="5">
        <v>1.978</v>
      </c>
      <c r="G70" s="5">
        <v>2.1459999999999999</v>
      </c>
      <c r="H70" s="6" t="s">
        <v>11</v>
      </c>
      <c r="I70" s="5">
        <v>2.6280000000000001</v>
      </c>
      <c r="J70" s="1"/>
      <c r="K70" s="8">
        <f t="shared" si="2"/>
        <v>1.8137125873991522E-3</v>
      </c>
      <c r="L70" s="8">
        <f>B70^2* UnnormalizedLowerIncompleteGamma(2/2 + 1, (A70/B70)^(2)) + C70^2 *UnnormalizedUpperIncompleteGamma(2/3.6 + 1, (A70/C70)^(3.6)) - 1</f>
        <v>-2.983139852474892E-6</v>
      </c>
      <c r="M70" s="8">
        <f t="shared" si="3"/>
        <v>-2.983139852474892E-6</v>
      </c>
    </row>
    <row r="71" spans="1:13" x14ac:dyDescent="0.25">
      <c r="A71" s="9">
        <v>3.5</v>
      </c>
      <c r="B71" s="5">
        <v>1</v>
      </c>
      <c r="C71" s="5">
        <v>1.7450000000000001</v>
      </c>
      <c r="D71" s="5">
        <v>1.4159999999999999</v>
      </c>
      <c r="E71" s="5">
        <v>1.8</v>
      </c>
      <c r="F71" s="5">
        <v>1.978</v>
      </c>
      <c r="G71" s="5">
        <v>2.1459999999999999</v>
      </c>
      <c r="H71" s="6" t="s">
        <v>11</v>
      </c>
      <c r="I71" s="5">
        <v>2.6280000000000001</v>
      </c>
      <c r="J71" s="1"/>
      <c r="K71" s="8">
        <f t="shared" si="2"/>
        <v>-1.2783448465878422E-3</v>
      </c>
      <c r="L71" s="8">
        <f>B71^2* UnnormalizedLowerIncompleteGamma(2/2 + 1, (A71/B71)^(2)) + C71^2 *UnnormalizedUpperIncompleteGamma(2/3.6 + 1, (A71/C71)^(3.6)) - 1</f>
        <v>-2.2920208201382408E-6</v>
      </c>
      <c r="M71" s="8">
        <f t="shared" si="3"/>
        <v>-2.2920208201382408E-6</v>
      </c>
    </row>
    <row r="72" spans="1:13" x14ac:dyDescent="0.25">
      <c r="J72" s="1"/>
      <c r="K72" s="8"/>
      <c r="L72" s="8"/>
      <c r="M72" s="8"/>
    </row>
    <row r="73" spans="1:13" x14ac:dyDescent="0.25">
      <c r="J73" s="1"/>
      <c r="K73" s="8"/>
      <c r="L73" s="8"/>
      <c r="M73" s="8"/>
    </row>
    <row r="74" spans="1:13" x14ac:dyDescent="0.25">
      <c r="J74" s="1"/>
      <c r="K74" s="8"/>
      <c r="L74" s="8"/>
      <c r="M74" s="8"/>
    </row>
    <row r="75" spans="1:13" x14ac:dyDescent="0.25">
      <c r="J75" s="1"/>
      <c r="K75" s="8"/>
      <c r="L75" s="8"/>
      <c r="M75" s="8"/>
    </row>
    <row r="76" spans="1:13" x14ac:dyDescent="0.25">
      <c r="J76" s="1"/>
      <c r="K76" s="8"/>
      <c r="L76" s="8"/>
      <c r="M76" s="8"/>
    </row>
    <row r="77" spans="1:13" x14ac:dyDescent="0.25">
      <c r="J77" s="1"/>
      <c r="K77" s="8"/>
      <c r="L77" s="8"/>
      <c r="M77" s="8"/>
    </row>
    <row r="78" spans="1:13" x14ac:dyDescent="0.25">
      <c r="J78" s="1"/>
      <c r="K78" s="8"/>
      <c r="L78" s="8"/>
      <c r="M78" s="8"/>
    </row>
    <row r="79" spans="1:13" x14ac:dyDescent="0.25">
      <c r="J79" s="1"/>
      <c r="K79" s="8"/>
      <c r="L79" s="8"/>
      <c r="M79" s="8"/>
    </row>
    <row r="80" spans="1:13" x14ac:dyDescent="0.25">
      <c r="J80" s="1"/>
      <c r="K80" s="8"/>
      <c r="L80" s="8"/>
      <c r="M80" s="8"/>
    </row>
    <row r="81" spans="10:13" x14ac:dyDescent="0.25">
      <c r="J81" s="1"/>
      <c r="K81" s="8"/>
      <c r="L81" s="8"/>
      <c r="M81" s="8"/>
    </row>
    <row r="82" spans="10:13" x14ac:dyDescent="0.25">
      <c r="J82" s="1"/>
      <c r="K82" s="8"/>
      <c r="L82" s="8"/>
      <c r="M82" s="8"/>
    </row>
    <row r="83" spans="10:13" x14ac:dyDescent="0.25">
      <c r="J83" s="1"/>
      <c r="K83" s="8"/>
      <c r="L83" s="8"/>
      <c r="M83" s="8"/>
    </row>
    <row r="84" spans="10:13" x14ac:dyDescent="0.25">
      <c r="J84" s="1"/>
      <c r="K84" s="8"/>
      <c r="L84" s="8"/>
      <c r="M84" s="8"/>
    </row>
    <row r="85" spans="10:13" x14ac:dyDescent="0.25">
      <c r="J85" s="1"/>
      <c r="K85" s="8"/>
      <c r="L85" s="8"/>
      <c r="M85" s="8"/>
    </row>
    <row r="86" spans="10:13" x14ac:dyDescent="0.25">
      <c r="J86" s="1"/>
      <c r="K86" s="8"/>
      <c r="L86" s="8"/>
      <c r="M86" s="8"/>
    </row>
    <row r="87" spans="10:13" x14ac:dyDescent="0.25">
      <c r="J87" s="1"/>
      <c r="K87" s="8"/>
      <c r="L87" s="8"/>
      <c r="M87" s="8"/>
    </row>
    <row r="88" spans="10:13" x14ac:dyDescent="0.25">
      <c r="J88" s="1"/>
      <c r="K88" s="8"/>
      <c r="L88" s="8"/>
      <c r="M88" s="8"/>
    </row>
    <row r="89" spans="10:13" x14ac:dyDescent="0.25">
      <c r="J89" s="1"/>
      <c r="K89" s="8"/>
      <c r="L89" s="8"/>
      <c r="M89" s="8"/>
    </row>
    <row r="90" spans="10:13" x14ac:dyDescent="0.25">
      <c r="J90" s="1"/>
      <c r="K90" s="8"/>
      <c r="L90" s="8"/>
      <c r="M90" s="8"/>
    </row>
    <row r="91" spans="10:13" x14ac:dyDescent="0.25">
      <c r="J91" s="1"/>
      <c r="K91" s="8"/>
      <c r="L91" s="8"/>
      <c r="M91" s="8"/>
    </row>
    <row r="92" spans="10:13" x14ac:dyDescent="0.25">
      <c r="J92" s="1"/>
      <c r="K92" s="8"/>
      <c r="L92" s="8"/>
      <c r="M92" s="8"/>
    </row>
    <row r="93" spans="10:13" x14ac:dyDescent="0.25">
      <c r="J93" s="1"/>
      <c r="K93" s="8"/>
      <c r="L93" s="8"/>
      <c r="M93" s="8"/>
    </row>
    <row r="94" spans="10:13" x14ac:dyDescent="0.25">
      <c r="J94" s="1"/>
      <c r="K94" s="8"/>
      <c r="L94" s="8"/>
      <c r="M94" s="8"/>
    </row>
    <row r="95" spans="10:13" x14ac:dyDescent="0.25">
      <c r="J95" s="1"/>
      <c r="K95" s="8"/>
      <c r="L95" s="8"/>
      <c r="M95" s="8"/>
    </row>
    <row r="96" spans="10:13" x14ac:dyDescent="0.25">
      <c r="J96" s="1"/>
      <c r="K96" s="8"/>
      <c r="L96" s="8"/>
      <c r="M96" s="8"/>
    </row>
    <row r="97" spans="10:13" x14ac:dyDescent="0.25">
      <c r="J97" s="1"/>
      <c r="K97" s="8"/>
      <c r="L97" s="8"/>
      <c r="M97" s="8"/>
    </row>
    <row r="98" spans="10:13" x14ac:dyDescent="0.25">
      <c r="J98" s="1"/>
      <c r="K98" s="8"/>
      <c r="L98" s="8"/>
      <c r="M98" s="8"/>
    </row>
    <row r="99" spans="10:13" x14ac:dyDescent="0.25">
      <c r="J99" s="1"/>
      <c r="K99" s="8"/>
      <c r="L99" s="8"/>
      <c r="M99" s="8"/>
    </row>
    <row r="100" spans="10:13" x14ac:dyDescent="0.25">
      <c r="J100" s="1"/>
      <c r="K100" s="8"/>
      <c r="L100" s="8"/>
      <c r="M100" s="8"/>
    </row>
    <row r="101" spans="10:13" x14ac:dyDescent="0.25">
      <c r="J101" s="1"/>
      <c r="K101" s="8"/>
      <c r="L101" s="8"/>
      <c r="M101" s="8"/>
    </row>
    <row r="102" spans="10:13" x14ac:dyDescent="0.25">
      <c r="J102" s="1"/>
      <c r="K102" s="8"/>
      <c r="L102" s="8"/>
      <c r="M102" s="8"/>
    </row>
    <row r="103" spans="10:13" x14ac:dyDescent="0.25">
      <c r="J103" s="1"/>
      <c r="K103" s="8"/>
      <c r="L103" s="8"/>
      <c r="M103" s="8"/>
    </row>
    <row r="104" spans="10:13" x14ac:dyDescent="0.25">
      <c r="J104" s="1"/>
      <c r="K104" s="8"/>
      <c r="L104" s="8"/>
      <c r="M104" s="8"/>
    </row>
    <row r="105" spans="10:13" x14ac:dyDescent="0.25">
      <c r="J105" s="1"/>
      <c r="K105" s="8"/>
      <c r="L105" s="8"/>
      <c r="M105" s="8"/>
    </row>
    <row r="106" spans="10:13" x14ac:dyDescent="0.25">
      <c r="J106" s="1"/>
      <c r="K106" s="8"/>
      <c r="L106" s="8"/>
      <c r="M106" s="8"/>
    </row>
    <row r="107" spans="10:13" x14ac:dyDescent="0.25">
      <c r="J107" s="1"/>
      <c r="K107" s="8"/>
      <c r="L107" s="8"/>
      <c r="M107" s="8"/>
    </row>
    <row r="108" spans="10:13" x14ac:dyDescent="0.25">
      <c r="J108" s="1"/>
      <c r="K108" s="8"/>
      <c r="L108" s="8"/>
      <c r="M108" s="8"/>
    </row>
    <row r="109" spans="10:13" x14ac:dyDescent="0.25">
      <c r="J109" s="1"/>
      <c r="K109" s="8"/>
      <c r="L109" s="8"/>
      <c r="M109" s="8"/>
    </row>
    <row r="110" spans="10:13" x14ac:dyDescent="0.25">
      <c r="J110" s="1"/>
      <c r="K110" s="8"/>
      <c r="L110" s="8"/>
      <c r="M110" s="8"/>
    </row>
    <row r="111" spans="10:13" x14ac:dyDescent="0.25">
      <c r="J111" s="1"/>
      <c r="K111" s="8"/>
      <c r="L111" s="8"/>
      <c r="M111" s="8"/>
    </row>
    <row r="112" spans="10:13" x14ac:dyDescent="0.25">
      <c r="J112" s="1"/>
      <c r="K112" s="8"/>
      <c r="L112" s="8"/>
      <c r="M112" s="8"/>
    </row>
    <row r="113" spans="10:13" x14ac:dyDescent="0.25">
      <c r="J113" s="1"/>
      <c r="K113" s="8"/>
      <c r="L113" s="8"/>
      <c r="M113" s="8"/>
    </row>
    <row r="114" spans="10:13" x14ac:dyDescent="0.25">
      <c r="J114" s="1"/>
      <c r="K114" s="8"/>
      <c r="L114" s="8"/>
      <c r="M114" s="8"/>
    </row>
    <row r="115" spans="10:13" x14ac:dyDescent="0.25">
      <c r="J115" s="1"/>
      <c r="K115" s="8"/>
      <c r="L115" s="8"/>
      <c r="M115" s="8"/>
    </row>
    <row r="116" spans="10:13" x14ac:dyDescent="0.25">
      <c r="J116" s="1"/>
      <c r="K116" s="8"/>
      <c r="L116" s="8"/>
      <c r="M116" s="8"/>
    </row>
    <row r="117" spans="10:13" x14ac:dyDescent="0.25">
      <c r="J117" s="1"/>
      <c r="K117" s="8"/>
      <c r="L117" s="8"/>
      <c r="M117" s="8"/>
    </row>
    <row r="118" spans="10:13" x14ac:dyDescent="0.25">
      <c r="J118" s="1"/>
      <c r="K118" s="8"/>
      <c r="L118" s="8"/>
      <c r="M118" s="8"/>
    </row>
    <row r="119" spans="10:13" x14ac:dyDescent="0.25">
      <c r="J119" s="1"/>
      <c r="K119" s="8"/>
      <c r="L119" s="8"/>
      <c r="M119" s="8"/>
    </row>
    <row r="120" spans="10:13" x14ac:dyDescent="0.25">
      <c r="J120" s="1"/>
      <c r="K120" s="8"/>
      <c r="L120" s="8"/>
      <c r="M120" s="8"/>
    </row>
    <row r="121" spans="10:13" x14ac:dyDescent="0.25">
      <c r="J121" s="1"/>
      <c r="K121" s="8"/>
      <c r="L121" s="8"/>
      <c r="M121" s="8"/>
    </row>
    <row r="122" spans="10:13" x14ac:dyDescent="0.25">
      <c r="J122" s="1"/>
      <c r="K122" s="8"/>
      <c r="L122" s="8"/>
      <c r="M122" s="8"/>
    </row>
    <row r="123" spans="10:13" x14ac:dyDescent="0.25">
      <c r="J123" s="1"/>
      <c r="K123" s="8"/>
      <c r="L123" s="8"/>
      <c r="M123" s="8"/>
    </row>
    <row r="124" spans="10:13" x14ac:dyDescent="0.25">
      <c r="J124" s="1"/>
      <c r="K124" s="8"/>
      <c r="L124" s="8"/>
      <c r="M124" s="8"/>
    </row>
    <row r="125" spans="10:13" x14ac:dyDescent="0.25">
      <c r="J125" s="1"/>
      <c r="K125" s="8"/>
      <c r="L125" s="8"/>
      <c r="M125" s="8"/>
    </row>
    <row r="126" spans="10:13" x14ac:dyDescent="0.25">
      <c r="J126" s="1"/>
      <c r="K126" s="8"/>
      <c r="L126" s="8"/>
      <c r="M126" s="8"/>
    </row>
    <row r="127" spans="10:13" x14ac:dyDescent="0.25">
      <c r="J127" s="1"/>
      <c r="K127" s="8"/>
      <c r="L127" s="8"/>
      <c r="M127" s="8"/>
    </row>
    <row r="128" spans="10:13" x14ac:dyDescent="0.25">
      <c r="J128" s="1"/>
      <c r="K128" s="8"/>
      <c r="L128" s="8"/>
      <c r="M128" s="8"/>
    </row>
    <row r="129" spans="10:13" x14ac:dyDescent="0.25">
      <c r="J129" s="1"/>
      <c r="K129" s="8"/>
      <c r="L129" s="8"/>
      <c r="M129" s="8"/>
    </row>
    <row r="130" spans="10:13" x14ac:dyDescent="0.25">
      <c r="J130" s="1"/>
      <c r="K130" s="8"/>
      <c r="L130" s="8"/>
      <c r="M130" s="8"/>
    </row>
    <row r="131" spans="10:13" x14ac:dyDescent="0.25">
      <c r="J131" s="1"/>
      <c r="K131" s="8"/>
      <c r="L131" s="8"/>
      <c r="M131" s="8"/>
    </row>
    <row r="132" spans="10:13" x14ac:dyDescent="0.25">
      <c r="J132" s="1"/>
      <c r="K132" s="8"/>
      <c r="L132" s="8"/>
      <c r="M132" s="8"/>
    </row>
    <row r="133" spans="10:13" x14ac:dyDescent="0.25">
      <c r="J133" s="1"/>
      <c r="K133" s="8"/>
      <c r="L133" s="8"/>
      <c r="M133" s="8"/>
    </row>
    <row r="134" spans="10:13" x14ac:dyDescent="0.25">
      <c r="J134" s="1"/>
      <c r="K134" s="8"/>
      <c r="L134" s="8"/>
      <c r="M134" s="8"/>
    </row>
    <row r="135" spans="10:13" x14ac:dyDescent="0.25">
      <c r="J135" s="1"/>
      <c r="K135" s="8"/>
      <c r="L135" s="8"/>
      <c r="M135" s="8"/>
    </row>
    <row r="136" spans="10:13" x14ac:dyDescent="0.25">
      <c r="J136" s="1"/>
      <c r="K136" s="8"/>
      <c r="L136" s="8"/>
      <c r="M136" s="8"/>
    </row>
    <row r="137" spans="10:13" x14ac:dyDescent="0.25">
      <c r="J137" s="1"/>
      <c r="K137" s="8"/>
      <c r="L137" s="8"/>
      <c r="M137" s="8"/>
    </row>
    <row r="138" spans="10:13" x14ac:dyDescent="0.25">
      <c r="J138" s="1"/>
      <c r="K138" s="8"/>
      <c r="L138" s="8"/>
      <c r="M138" s="8"/>
    </row>
    <row r="139" spans="10:13" x14ac:dyDescent="0.25">
      <c r="J139" s="1"/>
      <c r="K139" s="8"/>
      <c r="L139" s="8"/>
      <c r="M139" s="8"/>
    </row>
    <row r="140" spans="10:13" x14ac:dyDescent="0.25">
      <c r="J140" s="1"/>
      <c r="K140" s="8"/>
      <c r="L140" s="8"/>
      <c r="M140" s="8"/>
    </row>
    <row r="141" spans="10:13" x14ac:dyDescent="0.25">
      <c r="J141" s="1"/>
      <c r="K141" s="8"/>
      <c r="L141" s="8"/>
      <c r="M141" s="8"/>
    </row>
    <row r="142" spans="10:13" x14ac:dyDescent="0.25">
      <c r="J142" s="1"/>
      <c r="K142" s="8"/>
      <c r="L142" s="8"/>
      <c r="M142" s="8"/>
    </row>
    <row r="143" spans="10:13" x14ac:dyDescent="0.25">
      <c r="J143" s="1"/>
      <c r="K143" s="8"/>
      <c r="L143" s="8"/>
      <c r="M143" s="8"/>
    </row>
    <row r="144" spans="10:13" x14ac:dyDescent="0.25">
      <c r="J144" s="1"/>
      <c r="K144" s="8"/>
      <c r="L144" s="8"/>
      <c r="M144" s="8"/>
    </row>
    <row r="145" spans="10:13" x14ac:dyDescent="0.25">
      <c r="J145" s="1"/>
      <c r="K145" s="8"/>
      <c r="L145" s="8"/>
      <c r="M145" s="8"/>
    </row>
    <row r="146" spans="10:13" x14ac:dyDescent="0.25">
      <c r="J146" s="1"/>
      <c r="K146" s="8"/>
      <c r="L146" s="8"/>
      <c r="M146" s="8"/>
    </row>
    <row r="147" spans="10:13" x14ac:dyDescent="0.25">
      <c r="J147" s="1"/>
      <c r="K147" s="8"/>
      <c r="L147" s="8"/>
      <c r="M147" s="8"/>
    </row>
    <row r="148" spans="10:13" x14ac:dyDescent="0.25">
      <c r="J148" s="1"/>
      <c r="K148" s="8"/>
      <c r="L148" s="8"/>
      <c r="M148" s="8"/>
    </row>
    <row r="149" spans="10:13" x14ac:dyDescent="0.25">
      <c r="J149" s="1"/>
      <c r="K149" s="8"/>
      <c r="L149" s="8"/>
      <c r="M149" s="8"/>
    </row>
    <row r="150" spans="10:13" x14ac:dyDescent="0.25">
      <c r="J150" s="1"/>
      <c r="K150" s="8"/>
      <c r="L150" s="8"/>
      <c r="M150" s="8"/>
    </row>
    <row r="151" spans="10:13" x14ac:dyDescent="0.25">
      <c r="J151" s="1"/>
      <c r="K151" s="8"/>
      <c r="L151" s="8"/>
      <c r="M151" s="8"/>
    </row>
    <row r="152" spans="10:13" x14ac:dyDescent="0.25">
      <c r="J152" s="1"/>
      <c r="K152" s="8"/>
      <c r="L152" s="8"/>
      <c r="M152" s="8"/>
    </row>
    <row r="153" spans="10:13" x14ac:dyDescent="0.25">
      <c r="J153" s="1"/>
      <c r="K153" s="8"/>
      <c r="L153" s="8"/>
      <c r="M153" s="8"/>
    </row>
    <row r="154" spans="10:13" x14ac:dyDescent="0.25">
      <c r="J154" s="1"/>
      <c r="K154" s="8"/>
      <c r="L154" s="8"/>
      <c r="M154" s="8"/>
    </row>
    <row r="155" spans="10:13" x14ac:dyDescent="0.25">
      <c r="J155" s="1"/>
      <c r="K155" s="8"/>
      <c r="L155" s="8"/>
      <c r="M155" s="8"/>
    </row>
    <row r="156" spans="10:13" x14ac:dyDescent="0.25">
      <c r="J156" s="1"/>
      <c r="K156" s="8"/>
      <c r="L156" s="8"/>
      <c r="M156" s="8"/>
    </row>
    <row r="157" spans="10:13" x14ac:dyDescent="0.25">
      <c r="J157" s="1"/>
      <c r="K157" s="8"/>
      <c r="L157" s="8"/>
      <c r="M157" s="8"/>
    </row>
    <row r="158" spans="10:13" x14ac:dyDescent="0.25">
      <c r="J158" s="1"/>
      <c r="K158" s="8"/>
      <c r="L158" s="8"/>
      <c r="M158" s="8"/>
    </row>
    <row r="159" spans="10:13" x14ac:dyDescent="0.25">
      <c r="J159" s="1"/>
      <c r="K159" s="8"/>
      <c r="L159" s="8"/>
      <c r="M159" s="8"/>
    </row>
    <row r="160" spans="10:13" x14ac:dyDescent="0.25">
      <c r="J160" s="1"/>
      <c r="K160" s="8"/>
      <c r="L160" s="8"/>
      <c r="M160" s="8"/>
    </row>
    <row r="161" spans="10:13" x14ac:dyDescent="0.25">
      <c r="J161" s="1"/>
      <c r="K161" s="8"/>
      <c r="L161" s="8"/>
      <c r="M161" s="8"/>
    </row>
    <row r="162" spans="10:13" x14ac:dyDescent="0.25">
      <c r="J162" s="1"/>
      <c r="K162" s="8"/>
      <c r="L162" s="8"/>
      <c r="M162" s="8"/>
    </row>
    <row r="163" spans="10:13" x14ac:dyDescent="0.25">
      <c r="J163" s="1"/>
      <c r="K163" s="8"/>
      <c r="L163" s="8"/>
      <c r="M163" s="8"/>
    </row>
    <row r="164" spans="10:13" x14ac:dyDescent="0.25">
      <c r="J164" s="1"/>
      <c r="K164" s="8"/>
      <c r="L164" s="8"/>
      <c r="M164" s="8"/>
    </row>
    <row r="165" spans="10:13" x14ac:dyDescent="0.25">
      <c r="J165" s="1"/>
      <c r="K165" s="8"/>
      <c r="L165" s="8"/>
      <c r="M165" s="8"/>
    </row>
    <row r="166" spans="10:13" x14ac:dyDescent="0.25">
      <c r="J166" s="1"/>
      <c r="K166" s="8"/>
      <c r="L166" s="8"/>
      <c r="M166" s="8"/>
    </row>
    <row r="167" spans="10:13" x14ac:dyDescent="0.25">
      <c r="J167" s="1"/>
      <c r="K167" s="8"/>
      <c r="L167" s="8"/>
      <c r="M167" s="8"/>
    </row>
    <row r="168" spans="10:13" x14ac:dyDescent="0.25">
      <c r="J168" s="1"/>
      <c r="K168" s="8"/>
      <c r="L168" s="8"/>
      <c r="M168" s="8"/>
    </row>
    <row r="169" spans="10:13" x14ac:dyDescent="0.25">
      <c r="J169" s="1"/>
      <c r="K169" s="8"/>
      <c r="L169" s="8"/>
      <c r="M169" s="8"/>
    </row>
    <row r="170" spans="10:13" x14ac:dyDescent="0.25">
      <c r="J170" s="1"/>
      <c r="K170" s="8"/>
      <c r="L170" s="8"/>
      <c r="M170" s="8"/>
    </row>
    <row r="171" spans="10:13" x14ac:dyDescent="0.25">
      <c r="J171" s="1"/>
      <c r="K171" s="8"/>
      <c r="L171" s="8"/>
      <c r="M171" s="8"/>
    </row>
    <row r="172" spans="10:13" x14ac:dyDescent="0.25">
      <c r="J172" s="1"/>
      <c r="K172" s="8"/>
      <c r="L172" s="8"/>
      <c r="M172" s="8"/>
    </row>
    <row r="173" spans="10:13" x14ac:dyDescent="0.25">
      <c r="J173" s="1"/>
      <c r="K173" s="8"/>
      <c r="L173" s="8"/>
      <c r="M173" s="8"/>
    </row>
    <row r="174" spans="10:13" x14ac:dyDescent="0.25">
      <c r="J174" s="1"/>
      <c r="K174" s="8"/>
      <c r="L174" s="8"/>
      <c r="M174" s="8"/>
    </row>
    <row r="175" spans="10:13" x14ac:dyDescent="0.25">
      <c r="J175" s="1"/>
      <c r="K175" s="8"/>
      <c r="L175" s="8"/>
      <c r="M175" s="8"/>
    </row>
    <row r="176" spans="10:13" x14ac:dyDescent="0.25">
      <c r="J176" s="1"/>
      <c r="K176" s="8"/>
      <c r="L176" s="8"/>
      <c r="M176" s="8"/>
    </row>
    <row r="177" spans="10:13" x14ac:dyDescent="0.25">
      <c r="J177" s="1"/>
      <c r="K177" s="8"/>
      <c r="L177" s="8"/>
      <c r="M177" s="8"/>
    </row>
    <row r="178" spans="10:13" x14ac:dyDescent="0.25">
      <c r="J178" s="1"/>
      <c r="K178" s="8"/>
      <c r="L178" s="8"/>
      <c r="M178" s="8"/>
    </row>
    <row r="179" spans="10:13" x14ac:dyDescent="0.25">
      <c r="J179" s="1"/>
      <c r="K179" s="8"/>
      <c r="L179" s="8"/>
      <c r="M179" s="8"/>
    </row>
    <row r="180" spans="10:13" x14ac:dyDescent="0.25">
      <c r="J180" s="1"/>
      <c r="K180" s="8"/>
      <c r="L180" s="8"/>
      <c r="M180" s="8"/>
    </row>
    <row r="181" spans="10:13" x14ac:dyDescent="0.25">
      <c r="J181" s="1"/>
      <c r="K181" s="8"/>
      <c r="L181" s="8"/>
      <c r="M181" s="8"/>
    </row>
    <row r="182" spans="10:13" x14ac:dyDescent="0.25">
      <c r="J182" s="1"/>
      <c r="K182" s="8"/>
      <c r="L182" s="8"/>
      <c r="M182" s="8"/>
    </row>
    <row r="183" spans="10:13" x14ac:dyDescent="0.25">
      <c r="J183" s="1"/>
      <c r="K183" s="8"/>
      <c r="L183" s="8"/>
      <c r="M183" s="8"/>
    </row>
    <row r="184" spans="10:13" x14ac:dyDescent="0.25">
      <c r="J184" s="1"/>
      <c r="K184" s="8"/>
      <c r="L184" s="8"/>
      <c r="M184" s="8"/>
    </row>
    <row r="185" spans="10:13" x14ac:dyDescent="0.25">
      <c r="J185" s="1"/>
      <c r="K185" s="8"/>
      <c r="L185" s="8"/>
      <c r="M185" s="8"/>
    </row>
    <row r="186" spans="10:13" x14ac:dyDescent="0.25">
      <c r="J186" s="1"/>
      <c r="K186" s="8"/>
      <c r="L186" s="8"/>
      <c r="M186" s="8"/>
    </row>
    <row r="187" spans="10:13" x14ac:dyDescent="0.25">
      <c r="J187" s="1"/>
      <c r="K187" s="8"/>
      <c r="L187" s="8"/>
      <c r="M187" s="8"/>
    </row>
    <row r="188" spans="10:13" x14ac:dyDescent="0.25">
      <c r="J188" s="1"/>
      <c r="K188" s="8"/>
      <c r="L188" s="8"/>
      <c r="M188" s="8"/>
    </row>
    <row r="189" spans="10:13" x14ac:dyDescent="0.25">
      <c r="J189" s="1"/>
      <c r="K189" s="8"/>
      <c r="L189" s="8"/>
      <c r="M189" s="8"/>
    </row>
    <row r="190" spans="10:13" x14ac:dyDescent="0.25">
      <c r="J190" s="1"/>
      <c r="K190" s="8"/>
      <c r="L190" s="8"/>
      <c r="M190" s="8"/>
    </row>
    <row r="191" spans="10:13" x14ac:dyDescent="0.25">
      <c r="J191" s="1"/>
      <c r="K191" s="8"/>
      <c r="L191" s="8"/>
      <c r="M191" s="8"/>
    </row>
    <row r="192" spans="10:13" x14ac:dyDescent="0.25">
      <c r="J192" s="1"/>
      <c r="K192" s="8"/>
      <c r="L192" s="8"/>
      <c r="M192" s="8"/>
    </row>
    <row r="193" spans="10:13" x14ac:dyDescent="0.25">
      <c r="J193" s="1"/>
      <c r="K193" s="8"/>
      <c r="L193" s="8"/>
      <c r="M193" s="8"/>
    </row>
    <row r="194" spans="10:13" x14ac:dyDescent="0.25">
      <c r="J194" s="1"/>
      <c r="K194" s="8"/>
      <c r="L194" s="8"/>
      <c r="M194" s="8"/>
    </row>
    <row r="195" spans="10:13" x14ac:dyDescent="0.25">
      <c r="J195" s="1"/>
      <c r="K195" s="8"/>
      <c r="L195" s="8"/>
      <c r="M195" s="8"/>
    </row>
    <row r="196" spans="10:13" x14ac:dyDescent="0.25">
      <c r="J196" s="1"/>
      <c r="K196" s="8"/>
      <c r="L196" s="8"/>
      <c r="M196" s="8"/>
    </row>
    <row r="197" spans="10:13" x14ac:dyDescent="0.25">
      <c r="J197" s="1"/>
      <c r="K197" s="8"/>
      <c r="L197" s="8"/>
      <c r="M197" s="8"/>
    </row>
    <row r="198" spans="10:13" x14ac:dyDescent="0.25">
      <c r="J198" s="1"/>
      <c r="K198" s="8"/>
      <c r="L198" s="8"/>
      <c r="M198" s="8"/>
    </row>
    <row r="199" spans="10:13" x14ac:dyDescent="0.25">
      <c r="J199" s="1"/>
      <c r="K199" s="8"/>
      <c r="L199" s="8"/>
      <c r="M199" s="8"/>
    </row>
    <row r="200" spans="10:13" x14ac:dyDescent="0.25">
      <c r="J200" s="1"/>
      <c r="K200" s="8"/>
      <c r="L200" s="8"/>
      <c r="M200" s="8"/>
    </row>
    <row r="201" spans="10:13" x14ac:dyDescent="0.25">
      <c r="J201" s="1"/>
      <c r="K201" s="8"/>
      <c r="L201" s="8"/>
      <c r="M201" s="8"/>
    </row>
    <row r="202" spans="10:13" x14ac:dyDescent="0.25">
      <c r="J202" s="1"/>
      <c r="K202" s="8"/>
      <c r="L202" s="8"/>
      <c r="M202" s="8"/>
    </row>
    <row r="203" spans="10:13" x14ac:dyDescent="0.25">
      <c r="J203" s="1"/>
      <c r="K203" s="8"/>
      <c r="L203" s="8"/>
      <c r="M203" s="8"/>
    </row>
    <row r="204" spans="10:13" x14ac:dyDescent="0.25">
      <c r="J204" s="1"/>
      <c r="K204" s="8"/>
      <c r="L204" s="8"/>
      <c r="M204" s="8"/>
    </row>
    <row r="205" spans="10:13" x14ac:dyDescent="0.25">
      <c r="J205" s="1"/>
      <c r="K205" s="8"/>
      <c r="L205" s="8"/>
      <c r="M205" s="8"/>
    </row>
    <row r="206" spans="10:13" x14ac:dyDescent="0.25">
      <c r="J206" s="1"/>
      <c r="K206" s="8"/>
      <c r="L206" s="8"/>
      <c r="M206" s="8"/>
    </row>
    <row r="207" spans="10:13" x14ac:dyDescent="0.25">
      <c r="J207" s="1"/>
      <c r="K207" s="8"/>
      <c r="L207" s="8"/>
      <c r="M207" s="8"/>
    </row>
    <row r="208" spans="10:13" x14ac:dyDescent="0.25">
      <c r="J208" s="1"/>
      <c r="K208" s="8"/>
      <c r="L208" s="8"/>
      <c r="M208" s="8"/>
    </row>
    <row r="209" spans="10:13" x14ac:dyDescent="0.25">
      <c r="J209" s="1"/>
      <c r="K209" s="8"/>
      <c r="L209" s="8"/>
      <c r="M209" s="8"/>
    </row>
    <row r="210" spans="10:13" x14ac:dyDescent="0.25">
      <c r="J210" s="1"/>
      <c r="K210" s="8"/>
      <c r="L210" s="8"/>
      <c r="M210" s="8"/>
    </row>
    <row r="211" spans="10:13" x14ac:dyDescent="0.25">
      <c r="J211" s="1"/>
      <c r="K211" s="8"/>
      <c r="L211" s="8"/>
      <c r="M211" s="8"/>
    </row>
    <row r="212" spans="10:13" x14ac:dyDescent="0.25">
      <c r="J212" s="1"/>
      <c r="K212" s="8"/>
      <c r="L212" s="8"/>
      <c r="M212" s="8"/>
    </row>
    <row r="213" spans="10:13" x14ac:dyDescent="0.25">
      <c r="J213" s="1"/>
      <c r="K213" s="8"/>
      <c r="L213" s="8"/>
      <c r="M213" s="8"/>
    </row>
    <row r="214" spans="10:13" x14ac:dyDescent="0.25">
      <c r="J214" s="1"/>
      <c r="K214" s="8"/>
      <c r="L214" s="8"/>
      <c r="M214" s="8"/>
    </row>
    <row r="215" spans="10:13" x14ac:dyDescent="0.25">
      <c r="J215" s="1"/>
      <c r="K215" s="8"/>
      <c r="L215" s="8"/>
      <c r="M215" s="8"/>
    </row>
    <row r="216" spans="10:13" x14ac:dyDescent="0.25">
      <c r="J216" s="1"/>
      <c r="K216" s="8"/>
      <c r="L216" s="8"/>
      <c r="M216" s="8"/>
    </row>
    <row r="217" spans="10:13" x14ac:dyDescent="0.25">
      <c r="J217" s="1"/>
      <c r="K217" s="8"/>
      <c r="L217" s="8"/>
      <c r="M217" s="8"/>
    </row>
    <row r="218" spans="10:13" x14ac:dyDescent="0.25">
      <c r="J218" s="1"/>
      <c r="K218" s="8"/>
      <c r="L218" s="8"/>
      <c r="M218" s="8"/>
    </row>
    <row r="219" spans="10:13" x14ac:dyDescent="0.25">
      <c r="J219" s="1"/>
      <c r="K219" s="8"/>
      <c r="L219" s="8"/>
      <c r="M219" s="8"/>
    </row>
    <row r="220" spans="10:13" x14ac:dyDescent="0.25">
      <c r="J220" s="1"/>
      <c r="K220" s="8"/>
      <c r="L220" s="8"/>
      <c r="M220" s="8"/>
    </row>
    <row r="221" spans="10:13" x14ac:dyDescent="0.25">
      <c r="J221" s="1"/>
      <c r="K221" s="8"/>
      <c r="L221" s="8"/>
      <c r="M221" s="8"/>
    </row>
    <row r="222" spans="10:13" x14ac:dyDescent="0.25">
      <c r="J222" s="1"/>
      <c r="K222" s="8"/>
      <c r="L222" s="8"/>
      <c r="M222" s="8"/>
    </row>
    <row r="223" spans="10:13" x14ac:dyDescent="0.25">
      <c r="J223" s="1"/>
      <c r="K223" s="8"/>
      <c r="L223" s="8"/>
      <c r="M223" s="8"/>
    </row>
    <row r="224" spans="10:13" x14ac:dyDescent="0.25">
      <c r="J224" s="1"/>
      <c r="K224" s="8"/>
      <c r="L224" s="8"/>
      <c r="M224" s="8"/>
    </row>
    <row r="225" spans="10:13" x14ac:dyDescent="0.25">
      <c r="J225" s="1"/>
      <c r="K225" s="8"/>
      <c r="L225" s="8"/>
      <c r="M225" s="8"/>
    </row>
    <row r="226" spans="10:13" x14ac:dyDescent="0.25">
      <c r="J226" s="1"/>
      <c r="K226" s="8"/>
      <c r="L226" s="8"/>
      <c r="M226" s="8"/>
    </row>
    <row r="227" spans="10:13" x14ac:dyDescent="0.25">
      <c r="J227" s="1"/>
      <c r="K227" s="8"/>
      <c r="L227" s="8"/>
      <c r="M227" s="8"/>
    </row>
    <row r="228" spans="10:13" x14ac:dyDescent="0.25">
      <c r="J228" s="1"/>
      <c r="K228" s="8"/>
      <c r="L228" s="8"/>
      <c r="M228" s="8"/>
    </row>
    <row r="229" spans="10:13" x14ac:dyDescent="0.25">
      <c r="J229" s="1"/>
      <c r="K229" s="8"/>
      <c r="L229" s="8"/>
      <c r="M229" s="8"/>
    </row>
    <row r="230" spans="10:13" x14ac:dyDescent="0.25">
      <c r="J230" s="1"/>
      <c r="K230" s="8"/>
      <c r="L230" s="8"/>
      <c r="M230" s="8"/>
    </row>
    <row r="231" spans="10:13" x14ac:dyDescent="0.25">
      <c r="J231" s="1"/>
      <c r="K231" s="8"/>
      <c r="L231" s="8"/>
      <c r="M231" s="8"/>
    </row>
    <row r="232" spans="10:13" x14ac:dyDescent="0.25">
      <c r="J232" s="1"/>
      <c r="K232" s="8"/>
      <c r="L232" s="8"/>
      <c r="M232" s="8"/>
    </row>
    <row r="233" spans="10:13" x14ac:dyDescent="0.25">
      <c r="J233" s="1"/>
      <c r="K233" s="8"/>
      <c r="L233" s="8"/>
      <c r="M233" s="8"/>
    </row>
    <row r="234" spans="10:13" x14ac:dyDescent="0.25">
      <c r="J234" s="1"/>
      <c r="K234" s="8"/>
      <c r="L234" s="8"/>
      <c r="M234" s="8"/>
    </row>
    <row r="235" spans="10:13" x14ac:dyDescent="0.25">
      <c r="J235" s="1"/>
      <c r="K235" s="8"/>
      <c r="L235" s="8"/>
      <c r="M235" s="8"/>
    </row>
    <row r="236" spans="10:13" x14ac:dyDescent="0.25">
      <c r="J236" s="1"/>
      <c r="K236" s="8"/>
      <c r="L236" s="8"/>
      <c r="M236" s="8"/>
    </row>
    <row r="237" spans="10:13" x14ac:dyDescent="0.25">
      <c r="J237" s="1"/>
      <c r="K237" s="8"/>
      <c r="L237" s="8"/>
      <c r="M237" s="8"/>
    </row>
    <row r="238" spans="10:13" x14ac:dyDescent="0.25">
      <c r="J238" s="1"/>
      <c r="K238" s="8"/>
      <c r="L238" s="8"/>
      <c r="M238" s="8"/>
    </row>
    <row r="239" spans="10:13" x14ac:dyDescent="0.25">
      <c r="J239" s="1"/>
      <c r="K239" s="8"/>
      <c r="L239" s="8"/>
      <c r="M239" s="8"/>
    </row>
    <row r="240" spans="10:13" x14ac:dyDescent="0.25">
      <c r="J240" s="1"/>
      <c r="K240" s="8"/>
      <c r="L240" s="8"/>
      <c r="M240" s="8"/>
    </row>
    <row r="241" spans="10:13" x14ac:dyDescent="0.25">
      <c r="J241" s="1"/>
      <c r="K241" s="8"/>
      <c r="L241" s="8"/>
      <c r="M241" s="8"/>
    </row>
    <row r="242" spans="10:13" x14ac:dyDescent="0.25">
      <c r="J242" s="1"/>
      <c r="K242" s="8"/>
      <c r="L242" s="8"/>
      <c r="M242" s="8"/>
    </row>
    <row r="243" spans="10:13" x14ac:dyDescent="0.25">
      <c r="J243" s="1"/>
      <c r="K243" s="8"/>
      <c r="L243" s="8"/>
      <c r="M243" s="8"/>
    </row>
    <row r="244" spans="10:13" x14ac:dyDescent="0.25">
      <c r="J244" s="1"/>
      <c r="K244" s="8"/>
      <c r="L244" s="8"/>
      <c r="M244" s="8"/>
    </row>
    <row r="245" spans="10:13" x14ac:dyDescent="0.25">
      <c r="J245" s="1"/>
      <c r="K245" s="8"/>
      <c r="L245" s="8"/>
      <c r="M245" s="8"/>
    </row>
    <row r="246" spans="10:13" x14ac:dyDescent="0.25">
      <c r="J246" s="1"/>
      <c r="K246" s="8"/>
      <c r="L246" s="8"/>
      <c r="M246" s="8"/>
    </row>
    <row r="247" spans="10:13" x14ac:dyDescent="0.25">
      <c r="J247" s="1"/>
      <c r="K247" s="8"/>
      <c r="L247" s="8"/>
      <c r="M247" s="8"/>
    </row>
    <row r="248" spans="10:13" x14ac:dyDescent="0.25">
      <c r="J248" s="1"/>
      <c r="K248" s="8"/>
      <c r="L248" s="8"/>
      <c r="M248" s="8"/>
    </row>
    <row r="249" spans="10:13" x14ac:dyDescent="0.25">
      <c r="J249" s="1"/>
      <c r="K249" s="8"/>
      <c r="L249" s="8"/>
      <c r="M249" s="8"/>
    </row>
    <row r="250" spans="10:13" x14ac:dyDescent="0.25">
      <c r="J250" s="1"/>
      <c r="K250" s="8"/>
      <c r="L250" s="8"/>
      <c r="M250" s="8"/>
    </row>
    <row r="251" spans="10:13" x14ac:dyDescent="0.25">
      <c r="J251" s="1"/>
      <c r="K251" s="8"/>
      <c r="L251" s="8"/>
      <c r="M251" s="8"/>
    </row>
    <row r="252" spans="10:13" x14ac:dyDescent="0.25">
      <c r="J252" s="1"/>
      <c r="K252" s="8"/>
      <c r="L252" s="8"/>
      <c r="M252" s="8"/>
    </row>
    <row r="253" spans="10:13" x14ac:dyDescent="0.25">
      <c r="J253" s="1"/>
      <c r="K253" s="8"/>
      <c r="L253" s="8"/>
      <c r="M253" s="8"/>
    </row>
    <row r="254" spans="10:13" x14ac:dyDescent="0.25">
      <c r="J254" s="1"/>
      <c r="K254" s="8"/>
      <c r="L254" s="8"/>
      <c r="M254" s="8"/>
    </row>
    <row r="255" spans="10:13" x14ac:dyDescent="0.25">
      <c r="J255" s="1"/>
      <c r="K255" s="8"/>
      <c r="L255" s="8"/>
      <c r="M255" s="8"/>
    </row>
    <row r="256" spans="10:13" x14ac:dyDescent="0.25">
      <c r="J256" s="1"/>
      <c r="K256" s="8"/>
      <c r="L256" s="8"/>
      <c r="M256" s="8"/>
    </row>
    <row r="257" spans="10:13" x14ac:dyDescent="0.25">
      <c r="J257" s="1"/>
      <c r="K257" s="8"/>
      <c r="L257" s="8"/>
      <c r="M257" s="8"/>
    </row>
    <row r="258" spans="10:13" x14ac:dyDescent="0.25">
      <c r="J258" s="1"/>
      <c r="K258" s="8"/>
      <c r="L258" s="8"/>
      <c r="M258" s="8"/>
    </row>
    <row r="259" spans="10:13" x14ac:dyDescent="0.25">
      <c r="J259" s="1"/>
      <c r="K259" s="8"/>
      <c r="L259" s="8"/>
      <c r="M259" s="8"/>
    </row>
    <row r="260" spans="10:13" x14ac:dyDescent="0.25">
      <c r="J260" s="1"/>
      <c r="K260" s="8"/>
      <c r="L260" s="8"/>
      <c r="M260" s="8"/>
    </row>
    <row r="261" spans="10:13" x14ac:dyDescent="0.25">
      <c r="J261" s="1"/>
      <c r="K261" s="8"/>
      <c r="L261" s="8"/>
      <c r="M261" s="8"/>
    </row>
    <row r="262" spans="10:13" x14ac:dyDescent="0.25">
      <c r="J262" s="1"/>
      <c r="K262" s="8"/>
      <c r="L262" s="8"/>
      <c r="M262" s="8"/>
    </row>
    <row r="263" spans="10:13" x14ac:dyDescent="0.25">
      <c r="J263" s="1"/>
      <c r="K263" s="8"/>
      <c r="L263" s="8"/>
      <c r="M263" s="8"/>
    </row>
    <row r="264" spans="10:13" x14ac:dyDescent="0.25">
      <c r="J264" s="1"/>
      <c r="K264" s="8"/>
      <c r="L264" s="8"/>
      <c r="M264" s="8"/>
    </row>
    <row r="265" spans="10:13" x14ac:dyDescent="0.25">
      <c r="J265" s="1"/>
      <c r="K265" s="8"/>
      <c r="L265" s="8"/>
      <c r="M265" s="8"/>
    </row>
    <row r="266" spans="10:13" x14ac:dyDescent="0.25">
      <c r="J266" s="1"/>
      <c r="K266" s="8"/>
      <c r="L266" s="8"/>
      <c r="M266" s="8"/>
    </row>
    <row r="267" spans="10:13" x14ac:dyDescent="0.25">
      <c r="J267" s="1"/>
      <c r="K267" s="8"/>
      <c r="L267" s="8"/>
      <c r="M267" s="8"/>
    </row>
    <row r="268" spans="10:13" x14ac:dyDescent="0.25">
      <c r="J268" s="1"/>
      <c r="K268" s="8"/>
      <c r="L268" s="8"/>
      <c r="M268" s="8"/>
    </row>
    <row r="269" spans="10:13" x14ac:dyDescent="0.25">
      <c r="J269" s="1"/>
      <c r="K269" s="8"/>
      <c r="L269" s="8"/>
      <c r="M269" s="8"/>
    </row>
    <row r="270" spans="10:13" x14ac:dyDescent="0.25">
      <c r="J270" s="1"/>
      <c r="K270" s="8"/>
      <c r="L270" s="8"/>
      <c r="M270" s="8"/>
    </row>
    <row r="271" spans="10:13" x14ac:dyDescent="0.25">
      <c r="J271" s="1"/>
      <c r="K271" s="8"/>
      <c r="L271" s="8"/>
      <c r="M271" s="8"/>
    </row>
    <row r="272" spans="10:13" x14ac:dyDescent="0.25">
      <c r="J272" s="1"/>
      <c r="K272" s="8"/>
      <c r="L272" s="8"/>
      <c r="M272" s="8"/>
    </row>
    <row r="273" spans="10:13" x14ac:dyDescent="0.25">
      <c r="J273" s="1"/>
      <c r="K273" s="8"/>
      <c r="L273" s="8"/>
      <c r="M273" s="8"/>
    </row>
    <row r="274" spans="10:13" x14ac:dyDescent="0.25">
      <c r="J274" s="1"/>
      <c r="K274" s="8"/>
      <c r="L274" s="8"/>
      <c r="M274" s="8"/>
    </row>
    <row r="275" spans="10:13" x14ac:dyDescent="0.25">
      <c r="J275" s="1"/>
      <c r="K275" s="8"/>
      <c r="L275" s="8"/>
      <c r="M275" s="8"/>
    </row>
    <row r="276" spans="10:13" x14ac:dyDescent="0.25">
      <c r="J276" s="1"/>
      <c r="K276" s="8"/>
      <c r="L276" s="8"/>
      <c r="M276" s="8"/>
    </row>
    <row r="277" spans="10:13" x14ac:dyDescent="0.25">
      <c r="J277" s="1"/>
      <c r="K277" s="8"/>
      <c r="L277" s="8"/>
      <c r="M277" s="8"/>
    </row>
    <row r="278" spans="10:13" x14ac:dyDescent="0.25">
      <c r="J278" s="1"/>
      <c r="K278" s="8"/>
      <c r="L278" s="8"/>
      <c r="M278" s="8"/>
    </row>
    <row r="279" spans="10:13" x14ac:dyDescent="0.25">
      <c r="J279" s="1"/>
      <c r="K279" s="8"/>
      <c r="L279" s="8"/>
      <c r="M279" s="8"/>
    </row>
    <row r="280" spans="10:13" x14ac:dyDescent="0.25">
      <c r="J280" s="1"/>
      <c r="K280" s="8"/>
      <c r="L280" s="8"/>
      <c r="M280" s="8"/>
    </row>
    <row r="281" spans="10:13" x14ac:dyDescent="0.25">
      <c r="J281" s="1"/>
      <c r="K281" s="8"/>
      <c r="L281" s="8"/>
      <c r="M281" s="8"/>
    </row>
    <row r="282" spans="10:13" x14ac:dyDescent="0.25">
      <c r="J282" s="1"/>
      <c r="K282" s="8"/>
      <c r="L282" s="8"/>
      <c r="M282" s="8"/>
    </row>
    <row r="283" spans="10:13" x14ac:dyDescent="0.25">
      <c r="J283" s="1"/>
      <c r="K283" s="8"/>
      <c r="L283" s="8"/>
      <c r="M283" s="8"/>
    </row>
    <row r="284" spans="10:13" x14ac:dyDescent="0.25">
      <c r="J284" s="1"/>
      <c r="K284" s="8"/>
      <c r="L284" s="8"/>
      <c r="M284" s="8"/>
    </row>
    <row r="285" spans="10:13" x14ac:dyDescent="0.25">
      <c r="J285" s="1"/>
      <c r="K285" s="8"/>
      <c r="L285" s="8"/>
      <c r="M285" s="8"/>
    </row>
    <row r="286" spans="10:13" x14ac:dyDescent="0.25">
      <c r="J286" s="1"/>
      <c r="K286" s="8"/>
      <c r="L286" s="8"/>
      <c r="M286" s="8"/>
    </row>
    <row r="287" spans="10:13" x14ac:dyDescent="0.25">
      <c r="J287" s="1"/>
      <c r="K287" s="8"/>
      <c r="L287" s="8"/>
      <c r="M287" s="8"/>
    </row>
    <row r="288" spans="10:13" x14ac:dyDescent="0.25">
      <c r="J288" s="1"/>
      <c r="K288" s="8"/>
      <c r="L288" s="8"/>
      <c r="M288" s="8"/>
    </row>
    <row r="289" spans="10:13" x14ac:dyDescent="0.25">
      <c r="J289" s="1"/>
      <c r="K289" s="8"/>
      <c r="L289" s="8"/>
      <c r="M289" s="8"/>
    </row>
    <row r="290" spans="10:13" x14ac:dyDescent="0.25">
      <c r="J290" s="1"/>
      <c r="K290" s="8"/>
      <c r="L290" s="8"/>
      <c r="M290" s="8"/>
    </row>
    <row r="291" spans="10:13" x14ac:dyDescent="0.25">
      <c r="J291" s="1"/>
      <c r="K291" s="8"/>
      <c r="L291" s="8"/>
      <c r="M291" s="8"/>
    </row>
    <row r="292" spans="10:13" x14ac:dyDescent="0.25">
      <c r="J292" s="1"/>
      <c r="K292" s="8"/>
      <c r="L292" s="8"/>
      <c r="M292" s="8"/>
    </row>
    <row r="293" spans="10:13" x14ac:dyDescent="0.25">
      <c r="J293" s="1"/>
      <c r="K293" s="8"/>
      <c r="L293" s="8"/>
      <c r="M293" s="8"/>
    </row>
    <row r="294" spans="10:13" x14ac:dyDescent="0.25">
      <c r="J294" s="1"/>
      <c r="K294" s="8"/>
      <c r="L294" s="8"/>
      <c r="M294" s="8"/>
    </row>
    <row r="295" spans="10:13" x14ac:dyDescent="0.25">
      <c r="J295" s="1"/>
      <c r="K295" s="8"/>
      <c r="L295" s="8"/>
      <c r="M295" s="8"/>
    </row>
    <row r="296" spans="10:13" x14ac:dyDescent="0.25">
      <c r="J296" s="1"/>
      <c r="K296" s="8"/>
      <c r="L296" s="8"/>
      <c r="M296" s="8"/>
    </row>
    <row r="297" spans="10:13" x14ac:dyDescent="0.25">
      <c r="J297" s="1"/>
      <c r="K297" s="8"/>
      <c r="L297" s="8"/>
      <c r="M297" s="8"/>
    </row>
    <row r="298" spans="10:13" x14ac:dyDescent="0.25">
      <c r="J298" s="1"/>
      <c r="K298" s="8"/>
      <c r="L298" s="8"/>
      <c r="M298" s="8"/>
    </row>
    <row r="299" spans="10:13" x14ac:dyDescent="0.25">
      <c r="J299" s="1"/>
      <c r="K299" s="8"/>
      <c r="L299" s="8"/>
      <c r="M299" s="8"/>
    </row>
    <row r="300" spans="10:13" x14ac:dyDescent="0.25">
      <c r="J300" s="1"/>
      <c r="K300" s="8"/>
      <c r="L300" s="8"/>
      <c r="M300" s="8"/>
    </row>
    <row r="301" spans="10:13" x14ac:dyDescent="0.25">
      <c r="J301" s="1"/>
      <c r="K301" s="8"/>
      <c r="L301" s="8"/>
      <c r="M301" s="8"/>
    </row>
    <row r="302" spans="10:13" x14ac:dyDescent="0.25">
      <c r="J302" s="1"/>
      <c r="K302" s="8"/>
      <c r="L302" s="8"/>
      <c r="M302" s="8"/>
    </row>
    <row r="303" spans="10:13" x14ac:dyDescent="0.25">
      <c r="J303" s="1"/>
      <c r="K303" s="8"/>
      <c r="L303" s="8"/>
      <c r="M303" s="8"/>
    </row>
    <row r="304" spans="10:13" x14ac:dyDescent="0.25">
      <c r="J304" s="1"/>
      <c r="K304" s="8"/>
      <c r="L304" s="8"/>
      <c r="M304" s="8"/>
    </row>
    <row r="305" spans="10:13" x14ac:dyDescent="0.25">
      <c r="J305" s="1"/>
      <c r="K305" s="8"/>
      <c r="L305" s="8"/>
      <c r="M305" s="8"/>
    </row>
    <row r="306" spans="10:13" x14ac:dyDescent="0.25">
      <c r="J306" s="1"/>
      <c r="K306" s="8"/>
      <c r="L306" s="8"/>
      <c r="M306" s="8"/>
    </row>
    <row r="307" spans="10:13" x14ac:dyDescent="0.25">
      <c r="J307" s="1"/>
      <c r="K307" s="8"/>
      <c r="L307" s="8"/>
      <c r="M307" s="8"/>
    </row>
    <row r="308" spans="10:13" x14ac:dyDescent="0.25">
      <c r="J308" s="1"/>
      <c r="K308" s="8"/>
      <c r="L308" s="8"/>
      <c r="M308" s="8"/>
    </row>
    <row r="309" spans="10:13" x14ac:dyDescent="0.25">
      <c r="J309" s="1"/>
      <c r="K309" s="8"/>
      <c r="L309" s="8"/>
      <c r="M309" s="8"/>
    </row>
    <row r="310" spans="10:13" x14ac:dyDescent="0.25">
      <c r="J310" s="1"/>
      <c r="K310" s="8"/>
      <c r="L310" s="8"/>
      <c r="M310" s="8"/>
    </row>
    <row r="311" spans="10:13" x14ac:dyDescent="0.25">
      <c r="J311" s="1"/>
      <c r="K311" s="8"/>
      <c r="L311" s="8"/>
      <c r="M311" s="8"/>
    </row>
    <row r="312" spans="10:13" x14ac:dyDescent="0.25">
      <c r="J312" s="1"/>
      <c r="K312" s="8"/>
      <c r="L312" s="8"/>
      <c r="M312" s="8"/>
    </row>
    <row r="313" spans="10:13" x14ac:dyDescent="0.25">
      <c r="J313" s="1"/>
      <c r="K313" s="8"/>
      <c r="L313" s="8"/>
      <c r="M313" s="8"/>
    </row>
    <row r="314" spans="10:13" x14ac:dyDescent="0.25">
      <c r="J314" s="1"/>
      <c r="K314" s="8"/>
      <c r="L314" s="8"/>
      <c r="M314" s="8"/>
    </row>
    <row r="315" spans="10:13" x14ac:dyDescent="0.25">
      <c r="J315" s="1"/>
      <c r="K315" s="8"/>
      <c r="L315" s="8"/>
      <c r="M315" s="8"/>
    </row>
    <row r="316" spans="10:13" x14ac:dyDescent="0.25">
      <c r="J316" s="1"/>
      <c r="K316" s="8"/>
      <c r="L316" s="8"/>
      <c r="M316" s="8"/>
    </row>
    <row r="317" spans="10:13" x14ac:dyDescent="0.25">
      <c r="J317" s="1"/>
      <c r="K317" s="8"/>
      <c r="L317" s="8"/>
      <c r="M317" s="8"/>
    </row>
    <row r="318" spans="10:13" x14ac:dyDescent="0.25">
      <c r="J318" s="1"/>
      <c r="K318" s="8"/>
      <c r="L318" s="8"/>
      <c r="M318" s="8"/>
    </row>
    <row r="319" spans="10:13" x14ac:dyDescent="0.25">
      <c r="J319" s="1"/>
      <c r="K319" s="8"/>
      <c r="L319" s="8"/>
      <c r="M319" s="8"/>
    </row>
    <row r="320" spans="10:13" x14ac:dyDescent="0.25">
      <c r="J320" s="1"/>
      <c r="K320" s="8"/>
      <c r="L320" s="8"/>
      <c r="M320" s="8"/>
    </row>
    <row r="321" spans="10:13" x14ac:dyDescent="0.25">
      <c r="J321" s="1"/>
      <c r="K321" s="8"/>
      <c r="L321" s="8"/>
      <c r="M321" s="8"/>
    </row>
    <row r="322" spans="10:13" x14ac:dyDescent="0.25">
      <c r="J322" s="1"/>
      <c r="K322" s="8"/>
      <c r="L322" s="8"/>
      <c r="M322" s="8"/>
    </row>
    <row r="323" spans="10:13" x14ac:dyDescent="0.25">
      <c r="J323" s="1"/>
      <c r="K323" s="8"/>
      <c r="L323" s="8"/>
      <c r="M323" s="8"/>
    </row>
    <row r="324" spans="10:13" x14ac:dyDescent="0.25">
      <c r="J324" s="1"/>
      <c r="K324" s="8"/>
      <c r="L324" s="8"/>
      <c r="M324" s="8"/>
    </row>
    <row r="325" spans="10:13" x14ac:dyDescent="0.25">
      <c r="J325" s="1"/>
      <c r="K325" s="8"/>
      <c r="L325" s="8"/>
      <c r="M325" s="8"/>
    </row>
    <row r="326" spans="10:13" x14ac:dyDescent="0.25">
      <c r="J326" s="1"/>
      <c r="K326" s="8"/>
      <c r="L326" s="8"/>
      <c r="M326" s="8"/>
    </row>
    <row r="327" spans="10:13" x14ac:dyDescent="0.25">
      <c r="J327" s="1"/>
      <c r="K327" s="8"/>
      <c r="L327" s="8"/>
      <c r="M327" s="8"/>
    </row>
    <row r="328" spans="10:13" x14ac:dyDescent="0.25">
      <c r="J328" s="1"/>
      <c r="K328" s="8"/>
      <c r="L328" s="8"/>
      <c r="M328" s="8"/>
    </row>
    <row r="329" spans="10:13" x14ac:dyDescent="0.25">
      <c r="J329" s="1"/>
      <c r="K329" s="8"/>
      <c r="L329" s="8"/>
      <c r="M329" s="8"/>
    </row>
    <row r="330" spans="10:13" x14ac:dyDescent="0.25">
      <c r="J330" s="1"/>
      <c r="K330" s="8"/>
      <c r="L330" s="8"/>
      <c r="M330" s="8"/>
    </row>
    <row r="331" spans="10:13" x14ac:dyDescent="0.25">
      <c r="J331" s="1"/>
      <c r="K331" s="8"/>
      <c r="L331" s="8"/>
      <c r="M331" s="8"/>
    </row>
    <row r="332" spans="10:13" x14ac:dyDescent="0.25">
      <c r="J332" s="1"/>
      <c r="K332" s="8"/>
      <c r="L332" s="8"/>
      <c r="M332" s="8"/>
    </row>
    <row r="333" spans="10:13" x14ac:dyDescent="0.25">
      <c r="J333" s="1"/>
      <c r="K333" s="8"/>
      <c r="L333" s="8"/>
      <c r="M333" s="8"/>
    </row>
    <row r="334" spans="10:13" x14ac:dyDescent="0.25">
      <c r="J334" s="1"/>
      <c r="K334" s="8"/>
      <c r="L334" s="8"/>
      <c r="M334" s="8"/>
    </row>
    <row r="335" spans="10:13" x14ac:dyDescent="0.25">
      <c r="J335" s="1"/>
      <c r="K335" s="8"/>
      <c r="L335" s="8"/>
      <c r="M335" s="8"/>
    </row>
    <row r="336" spans="10:13" x14ac:dyDescent="0.25">
      <c r="J336" s="1"/>
      <c r="K336" s="8"/>
      <c r="L336" s="8"/>
      <c r="M336" s="8"/>
    </row>
    <row r="337" spans="10:13" x14ac:dyDescent="0.25">
      <c r="J337" s="1"/>
      <c r="K337" s="8"/>
      <c r="L337" s="8"/>
      <c r="M337" s="8"/>
    </row>
    <row r="338" spans="10:13" x14ac:dyDescent="0.25">
      <c r="J338" s="1"/>
      <c r="K338" s="8"/>
      <c r="L338" s="8"/>
      <c r="M338" s="8"/>
    </row>
    <row r="339" spans="10:13" x14ac:dyDescent="0.25">
      <c r="J339" s="1"/>
      <c r="K339" s="8"/>
      <c r="L339" s="8"/>
      <c r="M339" s="8"/>
    </row>
    <row r="340" spans="10:13" x14ac:dyDescent="0.25">
      <c r="J340" s="1"/>
      <c r="K340" s="8"/>
      <c r="L340" s="8"/>
      <c r="M340" s="8"/>
    </row>
    <row r="341" spans="10:13" x14ac:dyDescent="0.25">
      <c r="J341" s="1"/>
      <c r="K341" s="8"/>
      <c r="L341" s="8"/>
      <c r="M341" s="8"/>
    </row>
    <row r="342" spans="10:13" x14ac:dyDescent="0.25">
      <c r="J342" s="1"/>
      <c r="K342" s="8"/>
      <c r="L342" s="8"/>
      <c r="M342" s="8"/>
    </row>
    <row r="343" spans="10:13" x14ac:dyDescent="0.25">
      <c r="J343" s="1"/>
      <c r="K343" s="8"/>
      <c r="L343" s="8"/>
      <c r="M343" s="8"/>
    </row>
    <row r="344" spans="10:13" x14ac:dyDescent="0.25">
      <c r="J344" s="1"/>
      <c r="K344" s="8"/>
      <c r="L344" s="8"/>
      <c r="M344" s="8"/>
    </row>
    <row r="345" spans="10:13" x14ac:dyDescent="0.25">
      <c r="J345" s="1"/>
      <c r="K345" s="8"/>
      <c r="L345" s="8"/>
      <c r="M345" s="8"/>
    </row>
    <row r="346" spans="10:13" x14ac:dyDescent="0.25">
      <c r="J346" s="1"/>
      <c r="K346" s="8"/>
      <c r="L346" s="8"/>
      <c r="M346" s="8"/>
    </row>
    <row r="347" spans="10:13" x14ac:dyDescent="0.25">
      <c r="J347" s="1"/>
      <c r="K347" s="8"/>
      <c r="L347" s="8"/>
      <c r="M347" s="8"/>
    </row>
    <row r="348" spans="10:13" x14ac:dyDescent="0.25">
      <c r="J348" s="1"/>
      <c r="K348" s="8"/>
      <c r="L348" s="8"/>
      <c r="M348" s="8"/>
    </row>
    <row r="349" spans="10:13" x14ac:dyDescent="0.25">
      <c r="J349" s="1"/>
      <c r="K349" s="8"/>
      <c r="L349" s="8"/>
      <c r="M349" s="8"/>
    </row>
    <row r="350" spans="10:13" x14ac:dyDescent="0.25">
      <c r="J350" s="1"/>
      <c r="K350" s="8"/>
      <c r="L350" s="8"/>
      <c r="M350" s="8"/>
    </row>
    <row r="351" spans="10:13" x14ac:dyDescent="0.25">
      <c r="J351" s="1"/>
      <c r="K351" s="8"/>
      <c r="L351" s="8"/>
      <c r="M351" s="8"/>
    </row>
  </sheetData>
  <printOptions horizontalCentered="1"/>
  <pageMargins left="0.39370078740157483" right="0.39370078740157483" top="0.39370078740157483" bottom="0.39370078740157483" header="0.31496062992125984" footer="0.31496062992125984"/>
  <pageSetup paperSize="9" scale="15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Folhas de Cálculo</vt:lpstr>
      </vt:variant>
      <vt:variant>
        <vt:i4>2</vt:i4>
      </vt:variant>
      <vt:variant>
        <vt:lpstr>Intervalos com Nome</vt:lpstr>
      </vt:variant>
      <vt:variant>
        <vt:i4>1</vt:i4>
      </vt:variant>
    </vt:vector>
  </HeadingPairs>
  <TitlesOfParts>
    <vt:vector size="3" baseType="lpstr">
      <vt:lpstr>carvalho2025_table</vt:lpstr>
      <vt:lpstr>groenendijk1998_table</vt:lpstr>
      <vt:lpstr>carvalho2025_table!Área_de_Impressão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2025-07-28T22:29:23Z</dcterms:created>
  <dcterms:modified xsi:type="dcterms:W3CDTF">2026-07-22T15:44:25Z</dcterms:modified>
</cp:coreProperties>
</file>